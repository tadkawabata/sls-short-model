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in" sheetId="1" state="visible" r:id="rId3"/>
    <sheet name="galinpepimut-S" sheetId="2" state="visible" r:id="rId4"/>
    <sheet name="WT1" sheetId="3" state="visible" r:id="rId5"/>
    <sheet name="Literature" sheetId="4" state="visible" r:id="rId6"/>
    <sheet name="Trial" sheetId="5" state="visible" r:id="rId7"/>
    <sheet name="Patients" sheetId="6" state="visible" r:id="rId8"/>
    <sheet name="18mo Scenario" sheetId="7" state="visible" r:id="rId9"/>
    <sheet name="24mo Scenario" sheetId="8" state="visible" r:id="rId10"/>
    <sheet name="REGAL Failure Floor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2" authorId="0">
      <text>
        <r>
          <rPr>
            <sz val="10"/>
            <rFont val="Arial"/>
            <family val="2"/>
          </rPr>
          <t xml:space="preserve">Updated 9/11/26. SLS closing price 9/11/26 = $11.55, down 14.4% on the day (from ~$13.49) on elevated volume with NO new company filing or disclosed trial result behind the move -- read as pre-catalyst de-risking, not readout news. Two binary catalysts (REGAL OS + SLS009 front-line topline) both guided for Q4 2026. Re-pull live price before sizing anything off this cell; it has moved &gt;10% intraday twice in the past three weeks.
Source: stockanalysis.com/stocks/sls (close 9/11/26); corroborated by MarketBeat/StockTitan same-day coverage of the 14.4% drop.</t>
        </r>
      </text>
    </comment>
    <comment ref="L3" authorId="0">
      <text>
        <r>
          <rPr>
            <sz val="10"/>
            <rFont val="Arial"/>
            <family val="2"/>
          </rPr>
          <t xml:space="preserve">Was 70.381979 (Q3'24) -- ~2.9x dilution since, mostly warrant exercises and the 2026 ATM authorization (unused as of this filing).
Source: SLS 10-Q for Q2'26, cover page: "As of August 10, 2026, SELLAS Life Sciences Group, Inc. had outstanding 201,945,709 shares of common stock." SEC EDGAR: sec.gov/Archives/edgar/data/0001390478/000139047826000012/sls-20260630.htm
(Balance-sheet-date count as of 6/30/26 was 201,918,874 -- essentially identical; cover-page count used here as the more current figure.)</t>
        </r>
      </text>
    </comment>
    <comment ref="L5" authorId="0">
      <text>
        <r>
          <rPr>
            <sz val="10"/>
            <rFont val="Arial"/>
            <family val="2"/>
          </rPr>
          <t xml:space="preserve">Was 21.031 (Q3'24).
Source: SLS 10-Q for Q2'26, balance sheet, cash and cash equivalents as of 6/30/26 = $138.3M. Confirmed in Q2'26 earnings release (GlobeNewswire, 8/11/26). Note H1'26 net cash used in operating activities was $16.4M (see REGAL Failure Floor tab) -- the cash balance rose q/q anyway on warrant-exercise proceeds, so don't infer burn rate from the raw cash delta.</t>
        </r>
      </text>
    </comment>
    <comment ref="L6" authorId="0">
      <text>
        <r>
          <rPr>
            <sz val="10"/>
            <rFont val="Arial"/>
            <family val="2"/>
          </rPr>
          <t xml:space="preserve">Was =4.547+5.49 (Q3'24). Company carries no funded debt; the two components here are operating lease liabilities (NY HQ) as of 6/30/26: current $0.580M + non-current $0.157M = $0.737M total.
Source: SLS 10-Q for Q2'26 balance sheet, SEC EDGAR (sls-20260630.htm).</t>
        </r>
      </text>
    </comment>
    <comment ref="L9" authorId="0">
      <text>
        <r>
          <rPr>
            <sz val="10"/>
            <rFont val="Arial"/>
            <family val="2"/>
          </rPr>
          <t xml:space="preserve">NOT re-verified in this pass (was 237.188 as of Q3'24). Doesn't feed MC/EV so left as-is; pull current additional paid-in capital from the Q2'26 10-Q balance sheet before relying on it.</t>
        </r>
      </text>
    </comment>
    <comment ref="L10" authorId="0">
      <text>
        <r>
          <rPr>
            <sz val="10"/>
            <rFont val="Arial"/>
            <family val="2"/>
          </rPr>
          <t xml:space="preserve">Was -234.28 (Q3'24).
Source: SLS 10-Q for Q2'26 balance sheet: accumulated deficit of $293.0M as of 6/30/26. SEC EDGAR (sls-20260630.htm).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3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60 discontinuations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" authorId="0">
      <text>
        <r>
          <rPr>
            <sz val="10"/>
            <rFont val="Arial"/>
            <family val="2"/>
          </rPr>
          <t xml:space="preserve">Source: SLS 10-Q for Q2'26 (SEC EDGAR, sls-20260630.htm), condensed cash flow statement: net cash used in operating activities of $16.4M for the six months ended 6/30/26 (flat vs. H1'25), i.e. $16.4M / 2 quarters = $8.2M/quarter. As of 9/11/26.</t>
        </r>
      </text>
    </comment>
    <comment ref="C9" authorId="0">
      <text>
        <r>
          <rPr>
            <sz val="10"/>
            <rFont val="Arial"/>
            <family val="2"/>
          </rPr>
          <t xml:space="preserve">2.0 quarters = burn from 7/1/26 through year-end 2026, matching the company's Q4'26 topline guidance. If the readout slips to Q1 2027 (real risk per the brief -- REGAL was still short of its confirmed 80th event as of 9/11/26), bump this to ~3.0 to add roughly one more quarter (~$8M) of burn. As of 9/11/26.</t>
        </r>
      </text>
    </comment>
    <comment ref="C12" authorId="0">
      <text>
        <r>
          <rPr>
            <sz val="10"/>
            <rFont val="Arial"/>
            <family val="2"/>
          </rPr>
          <t xml:space="preserve">Default $0 per the bear case: GPS assumed worthless to equityholders on a REGAL miss. Could in principle reflect already-banked, non-refundable ex-China (3D Medicines) license economics, or optionality from a positive secondary/subgroup signal surviving a missed primary OS endpoint -- raise only with explicit justification, this is meant to stay conservative.</t>
        </r>
      </text>
    </comment>
    <comment ref="C16" authorId="0">
      <text>
        <r>
          <rPr>
            <sz val="10"/>
            <rFont val="Arial"/>
            <family val="2"/>
          </rPr>
          <t xml:space="preserve">Illustrative risk-adjusted value levers for SLS009 (tambiciclib), not a formal rNPV build -- set by feel, refine as data emerges. Context: prior r/r AML Ph2 showed 46% ORR (29% CR/CRi), mOS 8.9mo in the least-pretreated cohort vs. ~2.5mo historical, no DLTs (ASH 2025); front-line randomized Ph2 (~80pts, response-rate endpoint, FDA-aligned, possible accelerated-approval path) had 28/80 enrolled with topline also guided for Q4 2026 per the Q2'26 update (SEC EDGAR, sls-20260630.htm / GlobeNewswire 8/11/26). Low/Mid/High = $30M/$100M/$200M per the brief's own bracketing; adjust as SLS009 data reads out.</t>
        </r>
      </text>
    </comment>
  </commentList>
</comments>
</file>

<file path=xl/sharedStrings.xml><?xml version="1.0" encoding="utf-8"?>
<sst xmlns="http://schemas.openxmlformats.org/spreadsheetml/2006/main" count="476" uniqueCount="178">
  <si>
    <t xml:space="preserve">Name</t>
  </si>
  <si>
    <t xml:space="preserve">Indication</t>
  </si>
  <si>
    <t xml:space="preserve">Mechanism</t>
  </si>
  <si>
    <t xml:space="preserve">Price</t>
  </si>
  <si>
    <t xml:space="preserve">galinpepimut-S</t>
  </si>
  <si>
    <t xml:space="preserve">AML</t>
  </si>
  <si>
    <t xml:space="preserve">WT1</t>
  </si>
  <si>
    <t xml:space="preserve">Shares</t>
  </si>
  <si>
    <t xml:space="preserve">8/10/26</t>
  </si>
  <si>
    <t xml:space="preserve">SLS009/GFH009</t>
  </si>
  <si>
    <t xml:space="preserve">MC</t>
  </si>
  <si>
    <t xml:space="preserve">Cash</t>
  </si>
  <si>
    <t xml:space="preserve">6/30/26</t>
  </si>
  <si>
    <t xml:space="preserve">Debt</t>
  </si>
  <si>
    <t xml:space="preserve">EV</t>
  </si>
  <si>
    <t xml:space="preserve">PIC</t>
  </si>
  <si>
    <t xml:space="preserve">AD</t>
  </si>
  <si>
    <t xml:space="preserve">CEO</t>
  </si>
  <si>
    <t xml:space="preserve">Angelos Stergiou</t>
  </si>
  <si>
    <t xml:space="preserve">Main</t>
  </si>
  <si>
    <t xml:space="preserve">Brand</t>
  </si>
  <si>
    <t xml:space="preserve">ML</t>
  </si>
  <si>
    <t xml:space="preserve">Clinical Trials</t>
  </si>
  <si>
    <t xml:space="preserve">Phase III open-label "REGAL" Galinpepimut-S vs. BAT for Maintenance n=127 AML CR2/​CRp2 - NCT04229979</t>
  </si>
  <si>
    <t xml:space="preserve">60 events for interim analysis, 80 for final</t>
  </si>
  <si>
    <t xml:space="preserve">enrollment complete as of March 26 2024 - 1/8/2020 enrollment began</t>
  </si>
  <si>
    <t xml:space="preserve">PE: OS</t>
  </si>
  <si>
    <t xml:space="preserve">March 1 2024: 66 patients dead, 123 enrolled</t>
  </si>
  <si>
    <t xml:space="preserve">you needed time to make the vaccine:</t>
  </si>
  <si>
    <t xml:space="preserve">  x</t>
  </si>
  <si>
    <t xml:space="preserve">  relapses occur very fast: 3-5 years</t>
  </si>
  <si>
    <t xml:space="preserve">  6 months of achieving remission documentation</t>
  </si>
  <si>
    <t xml:space="preserve">Interim Analysis of Phase 3 REGAL Study of Galinpepimut-S in Patients with Acute Myeloid Leukemia Expected in First Quarter 2024</t>
  </si>
  <si>
    <t xml:space="preserve"> Our independent data monitoring committee will meet again in Q3, and we currently expect the interim analysis for our Phase 3 REGAL study by the end of this year or early 2024.</t>
  </si>
  <si>
    <t xml:space="preserve">Approximately 125 -140 patients will enroll, in a 1:1 ratio, to provide at least 90% power under an assumed hazard ratio of 0.636, based on median OS of 8.0 m (BAT) and 12.6m (GPS)</t>
  </si>
  <si>
    <t xml:space="preserve">Background: Patients with relapse/refractory (r/r) AML have poor outcomes. Allogeneic stem cell transplantation (allo-SCT) can potentially cure some patients with r/r AML who achieve second CR (CR2). However, barriers to transplantation such as advanced age, poor functional status/comorbidities or lack of donor exist and not all patients are able to proceed to allo-SCT. Therefore, novel strategies to decrease relapse risk in these patients are urgently needed. A National Cancer Institute consensus study on prioritization of cancer antigens ranked the Wilms tumor 1 (WT1) protein as the top immunotherapy target in cancer. WT1 has emerged as an encouraging vaccine target in AML due to its overexpression in leukemic blasts. Maintenance therapy with Galinpepimut-S (GPS), a multivalent heteroclitic WT1 peptide vaccine, has shown promising activity in patients with AML by inducing a strong innate immune response (CD4+/CD8+) against the WT1 antigen and across a broad range of HLA types.
Methods:
This is an open-label, multicenter, randomized, phase III study of GPS vs. BAT in patients with AML in CR2/CRp2 (CR2 with incomplete platelet recovery). BAT may include observation, low dose cytarabine and hypomethylating agents +/- venetoclax. The primary endpoint of the study is overall survival (OS). Secondary endpoints include safety and tolerability of GPS and leukemia-free survival. Exploratory endpoints include WT1-specific immune response dynamics in blood and bone marrow. Approximately 125 - 140 patients will enroll, in a 1:1 ratio, to provide at least 90% power under an assumed hazard ratio of 0.52, based on median OS of 8.0 m (BAT) and 15.4m (GPS). Randomization will be stratified by duration of CR1 ( &lt; 12m vs. ≥12m), Cytogenetics (poor-risk vs. all other), CR2 vs. CRp2 and measurable residual disease (MRD) after CR2 (MRD- vs. MRD+). Inclusion criteria consists of willing subjects ≥18y with AML within 6m of achieving CR2/CRp2, ineligible for allo-SCT due to any reason, with ≥300 lymphocytes/ul and with adequate renal and hepatic function. Subjects with central nervous involvement, having received a live vaccine 30d prior to first dose of study drug, having a diagnosis of immunodeficiency, receiving ≥10mg daily of prednisone equivalent (or any other systemic immunosuppressant) for any indication 7d prior to first dose of study drug, hypersensitivity to study agent and with a history of solid organ transplant would be excluded. The clinical trial is actively enrolling, and the registry number is NCT04229979.</t>
  </si>
  <si>
    <t xml:space="preserve">Abstract</t>
  </si>
  <si>
    <t xml:space="preserve"> Approximately 125 - 140 patients will enroll, in a 1:1 ratio, to provide at least 90% power under an assumed hazard ratio of 0.52, based on median OS of 8.0 m (BAT) and 15.4m (GPS).</t>
  </si>
  <si>
    <t xml:space="preserve">ASCO</t>
  </si>
  <si>
    <t xml:space="preserve">Approximately 125 -140 patients will enroll, in a 1:1 ratio, to provide at least 90% power under an assumed hazard ratio of 0.636, based on median OS of 8.0 m (BAT) and 12.6m (GPS). </t>
  </si>
  <si>
    <t xml:space="preserve">Omer Hassan Jamy (1. University of Alabama at Birmingham, Birmingham, AL)</t>
  </si>
  <si>
    <t xml:space="preserve">Sharif S. Khan (Bon Secours St Francis Health System, Greenville, SC)</t>
  </si>
  <si>
    <t xml:space="preserve">Panagiotis Tsirigotis 3 (University General Hospital Attikon, Chaidari, Greece)</t>
  </si>
  <si>
    <t xml:space="preserve">Benjamin Kent Tomlinson 4, ; 4. University Hospitals Seidman Cancer Center, Cleveland, OH</t>
  </si>
  <si>
    <t xml:space="preserve">Mathilde Hunault-Berger 5 (5. CHU Angers, Angers, France)</t>
  </si>
  <si>
    <t xml:space="preserve">Uwe Platzbecker 6 (6. University HospitalLeipzig, Leipzig, Germany)</t>
  </si>
  <si>
    <t xml:space="preserve">Ioanna Sakellari 7 (7. General Hospital of Thessaloniki “G. Papanikolaou, Pilea Chortiatis, Greece)</t>
  </si>
  <si>
    <t xml:space="preserve">Ana Vidovic8 (8. University Clinical Center of Serbia, Belgrade, Serbia)</t>
  </si>
  <si>
    <t xml:space="preserve">Pau Montesinos 9 (9. Hospital Universitario y PolitecnicoLa Fe, Valencia, Spain;)</t>
  </si>
  <si>
    <t xml:space="preserve">Teresa Bernal del Castillo 10 (10. Hospital Universitario Central de Asturias, Asturias, Spain)</t>
  </si>
  <si>
    <t xml:space="preserve">Daniel Egan 11 (11. University of Washington MedicalCenter, Seattle, WA)</t>
  </si>
  <si>
    <t xml:space="preserve">Hana Safah 12 (12. Tulane Cancer Center, New Orleans, LA)</t>
  </si>
  <si>
    <t xml:space="preserve">Gary J. Schiller13 (13. Department of Microbiology, Immunology and Molecular Genetics, David Geffen School of Medicine at UCLA, Los Angeles, CA)</t>
  </si>
  <si>
    <t xml:space="preserve">Mathias Haenel14 (14. Klinikum Chemnitz gGmbH, Chemnitz, Germany)</t>
  </si>
  <si>
    <t xml:space="preserve">Agata Obara 15 (15. Swietokrzyskie Centrum Onkologii, Kielce, Poland)</t>
  </si>
  <si>
    <t xml:space="preserve">Tsung-Chih Chen 16 (16. Taichung Veterans General Hospital, Taichung City, Taiwan)</t>
  </si>
  <si>
    <t xml:space="preserve">Marcello Rotta 17 (17. Colorado Blood Cancer Institute, Denver,CO)</t>
  </si>
  <si>
    <t xml:space="preserve">Stavroula Giannouli 18 (18. Hippokration General Hospital, Athina, Greece)</t>
  </si>
  <si>
    <t xml:space="preserve">Aleksandar Savic 19 (19. Clinical Centre of Vojvodina, Novi Sad, Serbia)</t>
  </si>
  <si>
    <t xml:space="preserve">Phase 3 REGAL Study of Galinpepimut-S in Patients with Acute Myeloid Leukemia on Track for Interim Analysis by Late 2023/Early 2024</t>
  </si>
  <si>
    <t xml:space="preserve"> SELLAS expects an interim analysis for safety and futility in the fourth quarter of 2021.</t>
  </si>
  <si>
    <t xml:space="preserve">Phase 3 REGAL study in acute myeloid leukemia (AML): Enrollment continued in the global Phase 3 REGAL registrational clinical trial in patients with AML who have achieved complete remission following second-line salvage therapy (CR2 patients). SELLAS announced in November that the REGAL clinical trial protocol and statistical analysis plan were revised to adjust for higher-than-expected overall survival observed in blinded pooled patient data</t>
  </si>
  <si>
    <t xml:space="preserve">SAP modified 11/14/22</t>
  </si>
  <si>
    <t xml:space="preserve">https://ir.sellaslifesciences.com/news/News-Details/2014/SELLAS-Life-Sciences-Group-Signs-Exclusive-License-Agreement-for-Global-Rights-on-Development-and-Commercialization-of-WT1-Cancer-Vaccine-with-Memorial-Sloan-Kettering-Cancer-Center/default.aspx</t>
  </si>
  <si>
    <t xml:space="preserve">https://www.tesble.com/10.1038/sj.leu.2403186</t>
  </si>
  <si>
    <t xml:space="preserve">monotherapy CR</t>
  </si>
  <si>
    <t xml:space="preserve">Phase I Osaka protocol</t>
  </si>
  <si>
    <t xml:space="preserve">mixed results</t>
  </si>
  <si>
    <t xml:space="preserve">German group - low efficacy</t>
  </si>
  <si>
    <t xml:space="preserve">Phase I FIH</t>
  </si>
  <si>
    <t xml:space="preserve">https://watermark.silverchair.com/zh802810000171.pdf</t>
  </si>
  <si>
    <t xml:space="preserve">n=10 AML good results</t>
  </si>
  <si>
    <t xml:space="preserve">https://pubmed.ncbi.nlm.nih.gov/20631300/</t>
  </si>
  <si>
    <t xml:space="preserve">British Group</t>
  </si>
  <si>
    <t xml:space="preserve">https://www.ncbi.nlm.nih.gov/pmc/articles/PMC4253125/pdf/bjh0164-0366.pdf</t>
  </si>
  <si>
    <t xml:space="preserve">Phase I random underwhelming study</t>
  </si>
  <si>
    <t xml:space="preserve">https://pubmed.ncbi.nlm.nih.gov/25802083/</t>
  </si>
  <si>
    <t xml:space="preserve">OCV-501 n=9 AML - OCV-501, a tumor vaccine, is an HLA class II-binding polypeptide consisting of 16 amino acid residues derived from WT1 protein</t>
  </si>
  <si>
    <t xml:space="preserve">Phase II n=100 https://www.ncbi.nlm.nih.gov/pmc/articles/PMC10123586/pdf/262_2023_Article_3432.pdf</t>
  </si>
  <si>
    <t xml:space="preserve">36% DFS vs. 34% for placebo p=0.74 Median DFS was 12.1 and 8.4 months in the OCV-501 and placebo groups, respectively, without a significant difference. </t>
  </si>
  <si>
    <t xml:space="preserve">CR1</t>
  </si>
  <si>
    <t xml:space="preserve">Phase II german DC vaccine n=30 AML</t>
  </si>
  <si>
    <t xml:space="preserve">https://www.ncbi.nlm.nih.gov/pmc/articles/PMC5649080/</t>
  </si>
  <si>
    <t xml:space="preserve">CR1 either 56.1mo OS or 41.8mo OS</t>
  </si>
  <si>
    <t xml:space="preserve">WT4869 - Sumitomo WT vaccine JapicCTI-101374. MDS</t>
  </si>
  <si>
    <t xml:space="preserve">Phase II MPM https://pubmed.ncbi.nlm.nih.gov/28972039/ - NCT01266083</t>
  </si>
  <si>
    <t xml:space="preserve">7.4mo PFS vs. 10.1mo for drug</t>
  </si>
  <si>
    <t xml:space="preserve">CR1 68 month OS</t>
  </si>
  <si>
    <t xml:space="preserve">https://watermark.silverchair.com/advances014175.pdf</t>
  </si>
  <si>
    <t xml:space="preserve">Phase II London</t>
  </si>
  <si>
    <t xml:space="preserve">https://onlinelibrary.wiley.com/doi/full/10.1111/bjh.14768?sid=nlm%3Apubmed</t>
  </si>
  <si>
    <t xml:space="preserve">WT1 TCR gene therapy - https://pubmed.ncbi.nlm.nih.gov/31235963/</t>
  </si>
  <si>
    <t xml:space="preserve">RFS 100% at median 44 months</t>
  </si>
  <si>
    <t xml:space="preserve">DSP-7888 - ombipepmut-S</t>
  </si>
  <si>
    <t xml:space="preserve">Phase I NCT02498665</t>
  </si>
  <si>
    <t xml:space="preserve">Phase I/II MDS - https://pubmed.ncbi.nlm.nih.gov/34932235/</t>
  </si>
  <si>
    <t xml:space="preserve">WT2725 - Phase I https://pubmed.ncbi.nlm.nih.gov/34785698/ - Sumitomo</t>
  </si>
  <si>
    <t xml:space="preserve">Phase I  - https://www.ncbi.nlm.nih.gov/pmc/articles/PMC4617516/pdf/nihms725317.pdf</t>
  </si>
  <si>
    <t xml:space="preserve">n=14, mOS 608days - 20 months</t>
  </si>
  <si>
    <t xml:space="preserve">  CR2 subset mOS 495 days - 16.5 months</t>
  </si>
  <si>
    <t xml:space="preserve">Very low baseline blasts, possibly positive prognosis bias, not sure if this is clinical material</t>
  </si>
  <si>
    <t xml:space="preserve">  Patients screened for WT1 immune response?</t>
  </si>
  <si>
    <t xml:space="preserve">NPM1 patient imbalance</t>
  </si>
  <si>
    <t xml:space="preserve">too much of assumption</t>
  </si>
  <si>
    <t xml:space="preserve">treatment of AML continues to get better</t>
  </si>
  <si>
    <t xml:space="preserve">  the days of 7+3 and that’s it are over</t>
  </si>
  <si>
    <t xml:space="preserve">18-24 months its possible: intermediate risk AML -- definitely possible</t>
  </si>
  <si>
    <t xml:space="preserve">you're looked at more closely</t>
  </si>
  <si>
    <t xml:space="preserve">MRD 10-15 years ago WT1 is expressed in all leukemias</t>
  </si>
  <si>
    <t xml:space="preserve">  how can they evade it</t>
  </si>
  <si>
    <t xml:space="preserve">menin, FLT3, IDH1</t>
  </si>
  <si>
    <t xml:space="preserve">imatinib - CML</t>
  </si>
  <si>
    <t xml:space="preserve">arsenic trioxide - APL</t>
  </si>
  <si>
    <t xml:space="preserve">menin inhibitors - single gent none are purative</t>
  </si>
  <si>
    <t xml:space="preserve">IMIDs only used in 5q- </t>
  </si>
  <si>
    <t xml:space="preserve">  unfortunately only thing we have in MDS</t>
  </si>
  <si>
    <t xml:space="preserve">  luspatercept</t>
  </si>
  <si>
    <t xml:space="preserve">  20-30%</t>
  </si>
  <si>
    <t xml:space="preserve">CLL now a joy to treat</t>
  </si>
  <si>
    <t xml:space="preserve">WT1 been floating around</t>
  </si>
  <si>
    <t xml:space="preserve">  not as interesting, not selective for AML</t>
  </si>
  <si>
    <t xml:space="preserve">  FLT3 does something, WT1 doesn't</t>
  </si>
  <si>
    <t xml:space="preserve">  NPM1</t>
  </si>
  <si>
    <t xml:space="preserve">WT-1 is Required for Early Kidney Development. Kreidberg et al. Cell 1993.</t>
  </si>
  <si>
    <t xml:space="preserve">Tumor suppressor gene was known by 1993.</t>
  </si>
  <si>
    <t xml:space="preserve">Expressed in mesenchymal cells of the metanephros</t>
  </si>
  <si>
    <t xml:space="preserve">Germline WT1 mutations are associated with Wilms' tumor, and urogenital malformations.</t>
  </si>
  <si>
    <t xml:space="preserve">Heterozygous people have cryptorchidism, hypospadias (misplaced urethra)</t>
  </si>
  <si>
    <t xml:space="preserve">ZFD, four alternative splicing transcripts</t>
  </si>
  <si>
    <t xml:space="preserve">Alternative splicing and genomic structure of the Wilms tumorgene WT1. Haber et al. PNAS 1991</t>
  </si>
  <si>
    <t xml:space="preserve">11p13 locus, highly expressed in developing kidney. Suggested protein structure is 45-49kDa TF.</t>
  </si>
  <si>
    <t xml:space="preserve">WT1 as a new Prognostic Factor and a New Marker for the Detection of MRD in Acute Leukemia. Inoue et al. Blood 1994.</t>
  </si>
  <si>
    <t xml:space="preserve">Wilms Tumor requires inactivation of both alleles of WT1</t>
  </si>
  <si>
    <t xml:space="preserve">Transcription represser when bound to EGR-1 site, represses IGF2 gene</t>
  </si>
  <si>
    <t xml:space="preserve">Osaka group n=45 AML showing &lt;0.6 copies fared better than &gt;0.6</t>
  </si>
  <si>
    <t xml:space="preserve">Total</t>
  </si>
  <si>
    <t xml:space="preserve">Enrolled</t>
  </si>
  <si>
    <t xml:space="preserve">Death</t>
  </si>
  <si>
    <t xml:space="preserve">Month</t>
  </si>
  <si>
    <t xml:space="preserve">Deaths</t>
  </si>
  <si>
    <t xml:space="preserve">BAT</t>
  </si>
  <si>
    <t xml:space="preserve">Galin</t>
  </si>
  <si>
    <t xml:space="preserve">Notes</t>
  </si>
  <si>
    <t xml:space="preserve">TRIAL BEGINS</t>
  </si>
  <si>
    <t xml:space="preserve">Reaches targeted enrollment excluding China (20-25)</t>
  </si>
  <si>
    <t xml:space="preserve">median OS</t>
  </si>
  <si>
    <t xml:space="preserve">Drug</t>
  </si>
  <si>
    <t xml:space="preserve">Total Deaths</t>
  </si>
  <si>
    <t xml:space="preserve">Patient</t>
  </si>
  <si>
    <t xml:space="preserve">Date Enrolled</t>
  </si>
  <si>
    <t xml:space="preserve">Random</t>
  </si>
  <si>
    <t xml:space="preserve">Assignment</t>
  </si>
  <si>
    <t xml:space="preserve">Placebo</t>
  </si>
  <si>
    <t xml:space="preserve">Died</t>
  </si>
  <si>
    <t xml:space="preserve">PBO</t>
  </si>
  <si>
    <t xml:space="preserve">DRUG</t>
  </si>
  <si>
    <t xml:space="preserve">PLACEBO</t>
  </si>
  <si>
    <t xml:space="preserve">REGAL Failure Floor — Sum-of-the-Parts on GPS Failure</t>
  </si>
  <si>
    <t xml:space="preserve">Per-share value floor assuming REGAL misses and GPS is worth $0 to equityholders. This is the reference level for sizing / setting the strike on a defined-risk long-put position into the readout — it is NOT a price target, an expected value, or a prediction of the outcome. See Main and galinpepimut-S tabs for the full bear/bull case.</t>
  </si>
  <si>
    <t xml:space="preserve">Inputs</t>
  </si>
  <si>
    <t xml:space="preserve">Current cash ($M)</t>
  </si>
  <si>
    <t xml:space="preserve">Current shares outstanding (M)</t>
  </si>
  <si>
    <t xml:space="preserve">Current price ($, for reference)</t>
  </si>
  <si>
    <t xml:space="preserve">Quarterly operating cash burn ($M)</t>
  </si>
  <si>
    <t xml:space="preserve">Quarters of burn to readout</t>
  </si>
  <si>
    <t xml:space="preserve">Est. burn to readout ($M)</t>
  </si>
  <si>
    <t xml:space="preserve">Net cash at readout ($M)</t>
  </si>
  <si>
    <t xml:space="preserve">GPS-residual / other value ($M)</t>
  </si>
  <si>
    <t xml:space="preserve">SLS009 risk-adjusted value — scenario ($M)</t>
  </si>
  <si>
    <t xml:space="preserve">Low</t>
  </si>
  <si>
    <t xml:space="preserve">Mid</t>
  </si>
  <si>
    <t xml:space="preserve">High</t>
  </si>
  <si>
    <t xml:space="preserve">SLS009 value ($M)</t>
  </si>
  <si>
    <t xml:space="preserve">Implied floor value ($M)</t>
  </si>
  <si>
    <t xml:space="preserve">Implied floor ($/share)</t>
  </si>
  <si>
    <t xml:space="preserve">Implied downside from current price</t>
  </si>
  <si>
    <t xml:space="preserve">A shocking/outright REGAL miss can gap the stock below this computed SOTP floor for hours to days before any mean-reversion -- treat this as a fundamental reference level for where to set a long-put strike, not a hard technical floor the price can't pierce intraday.</t>
  </si>
  <si>
    <t xml:space="preserve">REGAL status as of 9/11/26: company-confirmed event count remains 78/80 (last reaffirmed via 3D Medicines disclosure 8/18/26). An unconfirmed third-party report (AktienCheck, ~8/23/26) claimed the 80th event had been reached; SELLAS has not issued a press release or filing confirming this, and stocktwits/retail reaction was skeptical. Re-check company IR / SEC EDGAR for an actual topline announcement before finalizing any position -- if confirmed, database lock/unblinding timelines could pull the readout forward of the Q4'26 guidance embedded above.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</si>
</sst>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#,##0"/>
    <numFmt numFmtId="167" formatCode="mmm\-yy"/>
    <numFmt numFmtId="168" formatCode="m/d/yyyy"/>
    <numFmt numFmtId="169" formatCode="\$#,##0.0"/>
    <numFmt numFmtId="170" formatCode="#,##0.0"/>
    <numFmt numFmtId="171" formatCode="\$#,##0.00"/>
    <numFmt numFmtId="172" formatCode="0.0"/>
    <numFmt numFmtId="173" formatCode="\$#,##0"/>
    <numFmt numFmtId="174" formatCode="0.0%"/>
  </numFmts>
  <fonts count="14">
    <font>
      <sz val="10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0"/>
      <charset val="1"/>
    </font>
    <font>
      <u val="single"/>
      <sz val="10"/>
      <color theme="10"/>
      <name val="Arial"/>
      <family val="2"/>
      <charset val="1"/>
    </font>
    <font>
      <sz val="10"/>
      <name val="Arial"/>
      <family val="2"/>
    </font>
    <font>
      <b val="true"/>
      <u val="single"/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882360</xdr:colOff>
      <xdr:row>51</xdr:row>
      <xdr:rowOff>97200</xdr:rowOff>
    </xdr:from>
    <xdr:to>
      <xdr:col>4</xdr:col>
      <xdr:colOff>72720</xdr:colOff>
      <xdr:row>65</xdr:row>
      <xdr:rowOff>12600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2099520" y="8914680"/>
          <a:ext cx="4092840" cy="2058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794880</xdr:colOff>
      <xdr:row>107</xdr:row>
      <xdr:rowOff>47520</xdr:rowOff>
    </xdr:from>
    <xdr:to>
      <xdr:col>2</xdr:col>
      <xdr:colOff>2543760</xdr:colOff>
      <xdr:row>117</xdr:row>
      <xdr:rowOff>93960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1147320" y="17514000"/>
          <a:ext cx="2613600" cy="1579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261720</xdr:colOff>
      <xdr:row>90</xdr:row>
      <xdr:rowOff>57600</xdr:rowOff>
    </xdr:from>
    <xdr:to>
      <xdr:col>13</xdr:col>
      <xdr:colOff>372240</xdr:colOff>
      <xdr:row>113</xdr:row>
      <xdr:rowOff>134640</xdr:rowOff>
    </xdr:to>
    <xdr:pic>
      <xdr:nvPicPr>
        <xdr:cNvPr id="2" name="Picture 3" descr=""/>
        <xdr:cNvPicPr/>
      </xdr:nvPicPr>
      <xdr:blipFill>
        <a:blip r:embed="rId3"/>
        <a:stretch/>
      </xdr:blipFill>
      <xdr:spPr>
        <a:xfrm>
          <a:off x="5759640" y="14875920"/>
          <a:ext cx="6327000" cy="364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54000</xdr:colOff>
      <xdr:row>89</xdr:row>
      <xdr:rowOff>2880</xdr:rowOff>
    </xdr:from>
    <xdr:to>
      <xdr:col>26</xdr:col>
      <xdr:colOff>430200</xdr:colOff>
      <xdr:row>113</xdr:row>
      <xdr:rowOff>16200</xdr:rowOff>
    </xdr:to>
    <xdr:pic>
      <xdr:nvPicPr>
        <xdr:cNvPr id="3" name="Picture 4" descr=""/>
        <xdr:cNvPicPr/>
      </xdr:nvPicPr>
      <xdr:blipFill>
        <a:blip r:embed="rId4"/>
        <a:stretch/>
      </xdr:blipFill>
      <xdr:spPr>
        <a:xfrm>
          <a:off x="12390120" y="14659200"/>
          <a:ext cx="7836120" cy="3747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556560</xdr:colOff>
      <xdr:row>14</xdr:row>
      <xdr:rowOff>1800</xdr:rowOff>
    </xdr:from>
    <xdr:to>
      <xdr:col>11</xdr:col>
      <xdr:colOff>507600</xdr:colOff>
      <xdr:row>34</xdr:row>
      <xdr:rowOff>119520</xdr:rowOff>
    </xdr:to>
    <xdr:pic>
      <xdr:nvPicPr>
        <xdr:cNvPr id="4" name="Picture 1" descr=""/>
        <xdr:cNvPicPr/>
      </xdr:nvPicPr>
      <xdr:blipFill>
        <a:blip r:embed="rId1"/>
        <a:stretch/>
      </xdr:blipFill>
      <xdr:spPr>
        <a:xfrm>
          <a:off x="4638960" y="2172240"/>
          <a:ext cx="2437560" cy="33307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onlinelibrary.wiley.com/doi/full/10.1111/bjh.14768?sid=nlm%3Apubmed" TargetMode="External"/><Relationship Id="rId2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2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2" activeCellId="0" sqref="A2"/>
    </sheetView>
  </sheetViews>
  <sheetFormatPr defaultColWidth="8.82421875" defaultRowHeight="12" zeroHeight="false" outlineLevelRow="0" outlineLevelCol="0"/>
  <cols>
    <col collapsed="false" customWidth="true" hidden="false" outlineLevel="0" max="1" min="1" style="0" width="2.82"/>
    <col collapsed="false" customWidth="true" hidden="false" outlineLevel="0" max="2" min="2" style="0" width="18"/>
    <col collapsed="false" customWidth="true" hidden="false" outlineLevel="0" max="3" min="3" style="0" width="9.82"/>
    <col collapsed="false" customWidth="true" hidden="false" outlineLevel="0" max="4" min="4" style="0" width="11.45"/>
  </cols>
  <sheetData>
    <row r="2" customFormat="false" ht="12" hidden="false" customHeight="false" outlineLevel="0" collapsed="false">
      <c r="B2" s="1" t="s">
        <v>0</v>
      </c>
      <c r="C2" s="2" t="s">
        <v>1</v>
      </c>
      <c r="D2" s="2" t="s">
        <v>2</v>
      </c>
      <c r="E2" s="2"/>
      <c r="F2" s="2"/>
      <c r="G2" s="2"/>
      <c r="H2" s="2"/>
      <c r="I2" s="3"/>
      <c r="K2" s="4" t="s">
        <v>3</v>
      </c>
      <c r="L2" s="5" t="n">
        <v>11.55</v>
      </c>
    </row>
    <row r="3" customFormat="false" ht="12" hidden="false" customHeight="false" outlineLevel="0" collapsed="false">
      <c r="B3" s="6" t="s">
        <v>4</v>
      </c>
      <c r="C3" s="7" t="s">
        <v>5</v>
      </c>
      <c r="D3" s="7" t="s">
        <v>6</v>
      </c>
      <c r="E3" s="7"/>
      <c r="F3" s="7"/>
      <c r="G3" s="7"/>
      <c r="H3" s="7"/>
      <c r="I3" s="8"/>
      <c r="K3" s="4" t="s">
        <v>7</v>
      </c>
      <c r="L3" s="9" t="n">
        <v>201.945709</v>
      </c>
      <c r="M3" s="10" t="s">
        <v>8</v>
      </c>
    </row>
    <row r="4" customFormat="false" ht="12" hidden="false" customHeight="false" outlineLevel="0" collapsed="false">
      <c r="B4" s="11" t="s">
        <v>9</v>
      </c>
      <c r="C4" s="7"/>
      <c r="D4" s="7"/>
      <c r="E4" s="7"/>
      <c r="F4" s="7"/>
      <c r="G4" s="7"/>
      <c r="H4" s="7"/>
      <c r="I4" s="8"/>
      <c r="K4" s="4" t="s">
        <v>10</v>
      </c>
      <c r="L4" s="12" t="n">
        <f aca="false">+L2*L3</f>
        <v>2332.47293895</v>
      </c>
    </row>
    <row r="5" customFormat="false" ht="12" hidden="false" customHeight="false" outlineLevel="0" collapsed="false">
      <c r="B5" s="11"/>
      <c r="C5" s="7"/>
      <c r="D5" s="7"/>
      <c r="E5" s="7"/>
      <c r="F5" s="7"/>
      <c r="G5" s="7"/>
      <c r="H5" s="7"/>
      <c r="I5" s="8"/>
      <c r="K5" s="4" t="s">
        <v>11</v>
      </c>
      <c r="L5" s="9" t="n">
        <v>138.3</v>
      </c>
      <c r="M5" s="10" t="s">
        <v>12</v>
      </c>
    </row>
    <row r="6" customFormat="false" ht="12" hidden="false" customHeight="false" outlineLevel="0" collapsed="false">
      <c r="B6" s="11"/>
      <c r="C6" s="7"/>
      <c r="D6" s="7"/>
      <c r="E6" s="7"/>
      <c r="F6" s="7"/>
      <c r="G6" s="7"/>
      <c r="H6" s="7"/>
      <c r="I6" s="8"/>
      <c r="K6" s="4" t="s">
        <v>13</v>
      </c>
      <c r="L6" s="9" t="n">
        <f aca="false">0.58+0.157</f>
        <v>0.737</v>
      </c>
      <c r="M6" s="10" t="s">
        <v>12</v>
      </c>
    </row>
    <row r="7" customFormat="false" ht="12" hidden="false" customHeight="false" outlineLevel="0" collapsed="false">
      <c r="B7" s="13"/>
      <c r="C7" s="14"/>
      <c r="D7" s="14"/>
      <c r="E7" s="14"/>
      <c r="F7" s="14"/>
      <c r="G7" s="14"/>
      <c r="H7" s="14"/>
      <c r="I7" s="15"/>
      <c r="K7" s="4" t="s">
        <v>14</v>
      </c>
      <c r="L7" s="12" t="n">
        <f aca="false">+L4-L5+L6</f>
        <v>2194.90993895</v>
      </c>
    </row>
    <row r="9" customFormat="false" ht="12" hidden="false" customHeight="false" outlineLevel="0" collapsed="false">
      <c r="K9" s="0" t="s">
        <v>15</v>
      </c>
      <c r="L9" s="12" t="n">
        <v>237.188</v>
      </c>
    </row>
    <row r="10" customFormat="false" ht="12" hidden="false" customHeight="false" outlineLevel="0" collapsed="false">
      <c r="K10" s="0" t="s">
        <v>16</v>
      </c>
      <c r="L10" s="9" t="n">
        <v>-293</v>
      </c>
    </row>
    <row r="12" customFormat="false" ht="12" hidden="false" customHeight="false" outlineLevel="0" collapsed="false">
      <c r="K12" s="0" t="s">
        <v>17</v>
      </c>
      <c r="L12" s="4" t="s">
        <v>18</v>
      </c>
    </row>
  </sheetData>
  <hyperlinks>
    <hyperlink ref="B3" location="'galinpepimut-S'!A1" display="galinpepimut-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2"/>
  <sheetViews>
    <sheetView showFormulas="false" showGridLines="true" showRowColHeaders="true" showZeros="true" rightToLeft="false" tabSelected="true" showOutlineSymbols="true" defaultGridColor="true" view="normal" topLeftCell="A129" colorId="64" zoomScale="175" zoomScaleNormal="175" zoomScalePageLayoutView="100" workbookViewId="0">
      <selection pane="topLeft" activeCell="B163" activeCellId="0" sqref="B163"/>
    </sheetView>
  </sheetViews>
  <sheetFormatPr defaultColWidth="8.82421875" defaultRowHeight="12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.27"/>
    <col collapsed="false" customWidth="true" hidden="false" outlineLevel="0" max="3" min="3" style="0" width="60.73"/>
  </cols>
  <sheetData>
    <row r="1" customFormat="false" ht="12" hidden="false" customHeight="false" outlineLevel="0" collapsed="false">
      <c r="A1" s="16" t="s">
        <v>19</v>
      </c>
    </row>
    <row r="2" customFormat="false" ht="12" hidden="false" customHeight="false" outlineLevel="0" collapsed="false">
      <c r="B2" s="0" t="s">
        <v>20</v>
      </c>
      <c r="C2" s="4" t="s">
        <v>4</v>
      </c>
    </row>
    <row r="3" customFormat="false" ht="12" hidden="false" customHeight="false" outlineLevel="0" collapsed="false">
      <c r="B3" s="0" t="s">
        <v>1</v>
      </c>
      <c r="C3" s="4" t="s">
        <v>21</v>
      </c>
    </row>
    <row r="4" customFormat="false" ht="12" hidden="false" customHeight="false" outlineLevel="0" collapsed="false">
      <c r="B4" s="0" t="s">
        <v>22</v>
      </c>
    </row>
    <row r="5" customFormat="false" ht="12.75" hidden="false" customHeight="true" outlineLevel="0" collapsed="false">
      <c r="C5" s="17" t="s">
        <v>23</v>
      </c>
    </row>
    <row r="6" customFormat="false" ht="12" hidden="false" customHeight="false" outlineLevel="0" collapsed="false">
      <c r="C6" s="0" t="s">
        <v>24</v>
      </c>
    </row>
    <row r="7" customFormat="false" ht="12.75" hidden="false" customHeight="true" outlineLevel="0" collapsed="false">
      <c r="C7" s="18" t="s">
        <v>25</v>
      </c>
    </row>
    <row r="8" customFormat="false" ht="12" hidden="false" customHeight="false" outlineLevel="0" collapsed="false">
      <c r="C8" s="0" t="s">
        <v>26</v>
      </c>
    </row>
    <row r="9" customFormat="false" ht="12" hidden="false" customHeight="false" outlineLevel="0" collapsed="false">
      <c r="C9" s="0" t="s">
        <v>27</v>
      </c>
    </row>
    <row r="10" customFormat="false" ht="12" hidden="false" customHeight="false" outlineLevel="0" collapsed="false">
      <c r="C10" s="0" t="s">
        <v>28</v>
      </c>
    </row>
    <row r="11" customFormat="false" ht="12" hidden="false" customHeight="false" outlineLevel="0" collapsed="false">
      <c r="C11" s="0" t="s">
        <v>29</v>
      </c>
    </row>
    <row r="12" customFormat="false" ht="12" hidden="false" customHeight="false" outlineLevel="0" collapsed="false">
      <c r="C12" s="0" t="s">
        <v>30</v>
      </c>
    </row>
    <row r="13" customFormat="false" ht="12" hidden="false" customHeight="false" outlineLevel="0" collapsed="false">
      <c r="C13" s="0" t="s">
        <v>31</v>
      </c>
    </row>
    <row r="15" customFormat="false" ht="12" hidden="false" customHeight="false" outlineLevel="0" collapsed="false">
      <c r="C15" s="0" t="s">
        <v>32</v>
      </c>
    </row>
    <row r="16" customFormat="false" ht="12" hidden="false" customHeight="false" outlineLevel="0" collapsed="false">
      <c r="C16" s="0" t="s">
        <v>33</v>
      </c>
    </row>
    <row r="17" customFormat="false" ht="12" hidden="false" customHeight="false" outlineLevel="0" collapsed="false">
      <c r="C17" s="0" t="s">
        <v>34</v>
      </c>
    </row>
    <row r="18" customFormat="false" ht="35.05" hidden="false" customHeight="false" outlineLevel="0" collapsed="false">
      <c r="C18" s="19" t="s">
        <v>35</v>
      </c>
    </row>
    <row r="20" customFormat="false" ht="39" hidden="false" customHeight="true" outlineLevel="0" collapsed="false">
      <c r="B20" s="0" t="s">
        <v>36</v>
      </c>
      <c r="C20" s="20" t="s">
        <v>37</v>
      </c>
    </row>
    <row r="21" customFormat="false" ht="39" hidden="false" customHeight="true" outlineLevel="0" collapsed="false">
      <c r="B21" s="0" t="s">
        <v>38</v>
      </c>
      <c r="C21" s="20" t="s">
        <v>39</v>
      </c>
    </row>
    <row r="22" customFormat="false" ht="12" hidden="false" customHeight="false" outlineLevel="0" collapsed="false">
      <c r="C22" s="0" t="s">
        <v>40</v>
      </c>
    </row>
    <row r="23" customFormat="false" ht="12" hidden="false" customHeight="false" outlineLevel="0" collapsed="false">
      <c r="C23" s="0" t="s">
        <v>41</v>
      </c>
    </row>
    <row r="24" customFormat="false" ht="12.75" hidden="false" customHeight="true" outlineLevel="0" collapsed="false">
      <c r="C24" s="18" t="s">
        <v>42</v>
      </c>
    </row>
    <row r="25" customFormat="false" ht="12" hidden="false" customHeight="false" outlineLevel="0" collapsed="false">
      <c r="C25" s="0" t="s">
        <v>43</v>
      </c>
    </row>
    <row r="26" customFormat="false" ht="12" hidden="false" customHeight="false" outlineLevel="0" collapsed="false">
      <c r="C26" s="0" t="s">
        <v>44</v>
      </c>
    </row>
    <row r="27" customFormat="false" ht="12" hidden="false" customHeight="false" outlineLevel="0" collapsed="false">
      <c r="C27" s="0" t="s">
        <v>45</v>
      </c>
    </row>
    <row r="28" customFormat="false" ht="12.75" hidden="false" customHeight="true" outlineLevel="0" collapsed="false">
      <c r="C28" s="18" t="s">
        <v>46</v>
      </c>
    </row>
    <row r="29" customFormat="false" ht="12" hidden="false" customHeight="false" outlineLevel="0" collapsed="false">
      <c r="C29" s="0" t="s">
        <v>47</v>
      </c>
    </row>
    <row r="30" customFormat="false" ht="12" hidden="false" customHeight="false" outlineLevel="0" collapsed="false">
      <c r="C30" s="0" t="s">
        <v>48</v>
      </c>
    </row>
    <row r="31" customFormat="false" ht="12" hidden="false" customHeight="false" outlineLevel="0" collapsed="false">
      <c r="C31" s="0" t="s">
        <v>49</v>
      </c>
    </row>
    <row r="32" customFormat="false" ht="12" hidden="false" customHeight="false" outlineLevel="0" collapsed="false">
      <c r="C32" s="0" t="s">
        <v>50</v>
      </c>
    </row>
    <row r="33" customFormat="false" ht="12" hidden="false" customHeight="false" outlineLevel="0" collapsed="false">
      <c r="C33" s="0" t="s">
        <v>51</v>
      </c>
    </row>
    <row r="34" customFormat="false" ht="12" hidden="false" customHeight="false" outlineLevel="0" collapsed="false">
      <c r="C34" s="0" t="s">
        <v>52</v>
      </c>
    </row>
    <row r="35" customFormat="false" ht="12" hidden="false" customHeight="false" outlineLevel="0" collapsed="false">
      <c r="C35" s="0" t="s">
        <v>53</v>
      </c>
    </row>
    <row r="36" customFormat="false" ht="12" hidden="false" customHeight="false" outlineLevel="0" collapsed="false">
      <c r="C36" s="0" t="s">
        <v>54</v>
      </c>
    </row>
    <row r="37" customFormat="false" ht="12" hidden="false" customHeight="false" outlineLevel="0" collapsed="false">
      <c r="C37" s="0" t="s">
        <v>55</v>
      </c>
    </row>
    <row r="38" customFormat="false" ht="12" hidden="false" customHeight="false" outlineLevel="0" collapsed="false">
      <c r="C38" s="0" t="s">
        <v>56</v>
      </c>
    </row>
    <row r="39" customFormat="false" ht="12.75" hidden="false" customHeight="true" outlineLevel="0" collapsed="false">
      <c r="C39" s="18" t="s">
        <v>57</v>
      </c>
    </row>
    <row r="40" customFormat="false" ht="12" hidden="false" customHeight="false" outlineLevel="0" collapsed="false">
      <c r="C40" s="0" t="s">
        <v>58</v>
      </c>
    </row>
    <row r="42" customFormat="false" ht="12" hidden="false" customHeight="false" outlineLevel="0" collapsed="false">
      <c r="C42" s="0" t="s">
        <v>59</v>
      </c>
    </row>
    <row r="43" customFormat="false" ht="12" hidden="false" customHeight="false" outlineLevel="0" collapsed="false">
      <c r="C43" s="0" t="s">
        <v>60</v>
      </c>
    </row>
    <row r="44" customFormat="false" ht="12" hidden="false" customHeight="false" outlineLevel="0" collapsed="false">
      <c r="C44" s="0" t="s">
        <v>61</v>
      </c>
    </row>
    <row r="46" customFormat="false" ht="12.75" hidden="false" customHeight="true" outlineLevel="0" collapsed="false">
      <c r="C46" s="17" t="s">
        <v>62</v>
      </c>
    </row>
    <row r="47" customFormat="false" ht="12" hidden="false" customHeight="false" outlineLevel="0" collapsed="false">
      <c r="C47" s="0" t="s">
        <v>63</v>
      </c>
    </row>
    <row r="49" customFormat="false" ht="12.75" hidden="false" customHeight="true" outlineLevel="0" collapsed="false">
      <c r="C49" s="17" t="s">
        <v>64</v>
      </c>
    </row>
    <row r="50" customFormat="false" ht="12" hidden="false" customHeight="false" outlineLevel="0" collapsed="false">
      <c r="C50" s="0" t="s">
        <v>65</v>
      </c>
    </row>
    <row r="53" customFormat="false" ht="12.75" hidden="false" customHeight="true" outlineLevel="0" collapsed="false">
      <c r="C53" s="17" t="s">
        <v>66</v>
      </c>
    </row>
    <row r="54" customFormat="false" ht="12" hidden="false" customHeight="false" outlineLevel="0" collapsed="false">
      <c r="C54" s="0" t="s">
        <v>67</v>
      </c>
    </row>
    <row r="69" customFormat="false" ht="12.75" hidden="false" customHeight="true" outlineLevel="0" collapsed="false">
      <c r="C69" s="17" t="s">
        <v>68</v>
      </c>
    </row>
    <row r="73" customFormat="false" ht="12.75" hidden="false" customHeight="true" outlineLevel="0" collapsed="false">
      <c r="C73" s="17" t="s">
        <v>69</v>
      </c>
    </row>
    <row r="74" customFormat="false" ht="12" hidden="false" customHeight="false" outlineLevel="0" collapsed="false">
      <c r="C74" s="0" t="s">
        <v>70</v>
      </c>
    </row>
    <row r="77" customFormat="false" ht="12.75" hidden="false" customHeight="true" outlineLevel="0" collapsed="false">
      <c r="C77" s="17" t="s">
        <v>71</v>
      </c>
    </row>
    <row r="78" customFormat="false" ht="12" hidden="false" customHeight="false" outlineLevel="0" collapsed="false">
      <c r="C78" s="0" t="s">
        <v>72</v>
      </c>
    </row>
    <row r="81" customFormat="false" ht="12.75" hidden="false" customHeight="true" outlineLevel="0" collapsed="false">
      <c r="C81" s="17" t="s">
        <v>73</v>
      </c>
    </row>
    <row r="82" customFormat="false" ht="12" hidden="false" customHeight="false" outlineLevel="0" collapsed="false">
      <c r="C82" s="0" t="s">
        <v>74</v>
      </c>
    </row>
    <row r="86" customFormat="false" ht="12" hidden="false" customHeight="false" outlineLevel="0" collapsed="false">
      <c r="C86" s="0" t="s">
        <v>75</v>
      </c>
    </row>
    <row r="87" customFormat="false" ht="12" hidden="false" customHeight="false" outlineLevel="0" collapsed="false">
      <c r="C87" s="0" t="s">
        <v>76</v>
      </c>
    </row>
    <row r="90" customFormat="false" ht="12.75" hidden="false" customHeight="true" outlineLevel="0" collapsed="false">
      <c r="C90" s="21" t="s">
        <v>77</v>
      </c>
    </row>
    <row r="91" customFormat="false" ht="12.75" hidden="false" customHeight="true" outlineLevel="0" collapsed="false">
      <c r="C91" s="21" t="s">
        <v>78</v>
      </c>
    </row>
    <row r="92" customFormat="false" ht="12" hidden="false" customHeight="false" outlineLevel="0" collapsed="false">
      <c r="C92" s="22" t="s">
        <v>79</v>
      </c>
    </row>
    <row r="93" customFormat="false" ht="12" hidden="false" customHeight="false" outlineLevel="0" collapsed="false">
      <c r="C93" s="22" t="s">
        <v>80</v>
      </c>
    </row>
    <row r="95" customFormat="false" ht="12.75" hidden="false" customHeight="true" outlineLevel="0" collapsed="false">
      <c r="C95" s="17" t="s">
        <v>81</v>
      </c>
    </row>
    <row r="96" customFormat="false" ht="12" hidden="false" customHeight="false" outlineLevel="0" collapsed="false">
      <c r="C96" s="0" t="s">
        <v>82</v>
      </c>
    </row>
    <row r="97" customFormat="false" ht="12.75" hidden="false" customHeight="true" outlineLevel="0" collapsed="false">
      <c r="C97" s="18" t="s">
        <v>83</v>
      </c>
    </row>
    <row r="100" customFormat="false" ht="12.75" hidden="false" customHeight="true" outlineLevel="0" collapsed="false">
      <c r="C100" s="17" t="s">
        <v>84</v>
      </c>
    </row>
    <row r="102" customFormat="false" ht="12.75" hidden="false" customHeight="true" outlineLevel="0" collapsed="false">
      <c r="C102" s="17" t="s">
        <v>85</v>
      </c>
    </row>
    <row r="103" customFormat="false" ht="12" hidden="false" customHeight="false" outlineLevel="0" collapsed="false">
      <c r="C103" s="0" t="s">
        <v>86</v>
      </c>
    </row>
    <row r="104" customFormat="false" ht="12.75" hidden="false" customHeight="true" outlineLevel="0" collapsed="false">
      <c r="C104" s="18" t="s">
        <v>87</v>
      </c>
    </row>
    <row r="105" customFormat="false" ht="12" hidden="false" customHeight="false" outlineLevel="0" collapsed="false">
      <c r="C105" s="0" t="s">
        <v>88</v>
      </c>
    </row>
    <row r="108" customFormat="false" ht="12.75" hidden="false" customHeight="true" outlineLevel="0" collapsed="false">
      <c r="C108" s="17" t="s">
        <v>89</v>
      </c>
    </row>
    <row r="109" customFormat="false" ht="12" hidden="false" customHeight="false" outlineLevel="0" collapsed="false">
      <c r="C109" s="16" t="s">
        <v>90</v>
      </c>
    </row>
    <row r="121" customFormat="false" ht="12.75" hidden="false" customHeight="true" outlineLevel="0" collapsed="false">
      <c r="C121" s="17" t="s">
        <v>91</v>
      </c>
    </row>
    <row r="122" customFormat="false" ht="12" hidden="false" customHeight="false" outlineLevel="0" collapsed="false">
      <c r="C122" s="0" t="s">
        <v>92</v>
      </c>
    </row>
    <row r="124" customFormat="false" ht="12.75" hidden="false" customHeight="true" outlineLevel="0" collapsed="false">
      <c r="C124" s="17" t="s">
        <v>93</v>
      </c>
    </row>
    <row r="125" customFormat="false" ht="12" hidden="false" customHeight="false" outlineLevel="0" collapsed="false">
      <c r="C125" s="0" t="s">
        <v>94</v>
      </c>
    </row>
    <row r="126" customFormat="false" ht="12" hidden="false" customHeight="false" outlineLevel="0" collapsed="false">
      <c r="C126" s="0" t="s">
        <v>95</v>
      </c>
    </row>
    <row r="128" customFormat="false" ht="12.75" hidden="false" customHeight="true" outlineLevel="0" collapsed="false">
      <c r="C128" s="17" t="s">
        <v>96</v>
      </c>
    </row>
    <row r="131" customFormat="false" ht="12.75" hidden="false" customHeight="true" outlineLevel="0" collapsed="false">
      <c r="C131" s="17" t="s">
        <v>97</v>
      </c>
    </row>
    <row r="132" customFormat="false" ht="12" hidden="false" customHeight="false" outlineLevel="0" collapsed="false">
      <c r="C132" s="0" t="s">
        <v>98</v>
      </c>
    </row>
    <row r="133" customFormat="false" ht="12" hidden="false" customHeight="false" outlineLevel="0" collapsed="false">
      <c r="C133" s="0" t="s">
        <v>99</v>
      </c>
    </row>
    <row r="134" customFormat="false" ht="12" hidden="false" customHeight="false" outlineLevel="0" collapsed="false">
      <c r="C134" s="0" t="s">
        <v>100</v>
      </c>
    </row>
    <row r="135" customFormat="false" ht="12" hidden="false" customHeight="false" outlineLevel="0" collapsed="false">
      <c r="C135" s="0" t="s">
        <v>101</v>
      </c>
    </row>
    <row r="142" customFormat="false" ht="12" hidden="false" customHeight="false" outlineLevel="0" collapsed="false">
      <c r="B142" s="0" t="s">
        <v>102</v>
      </c>
    </row>
    <row r="143" customFormat="false" ht="12" hidden="false" customHeight="false" outlineLevel="0" collapsed="false">
      <c r="B143" s="0" t="s">
        <v>103</v>
      </c>
    </row>
    <row r="144" customFormat="false" ht="12" hidden="false" customHeight="false" outlineLevel="0" collapsed="false">
      <c r="B144" s="0" t="s">
        <v>104</v>
      </c>
    </row>
    <row r="145" customFormat="false" ht="12" hidden="false" customHeight="false" outlineLevel="0" collapsed="false">
      <c r="B145" s="0" t="s">
        <v>105</v>
      </c>
    </row>
    <row r="147" customFormat="false" ht="12" hidden="false" customHeight="false" outlineLevel="0" collapsed="false">
      <c r="B147" s="0" t="s">
        <v>106</v>
      </c>
    </row>
    <row r="148" customFormat="false" ht="12" hidden="false" customHeight="false" outlineLevel="0" collapsed="false">
      <c r="B148" s="0" t="s">
        <v>107</v>
      </c>
    </row>
    <row r="149" customFormat="false" ht="12" hidden="false" customHeight="false" outlineLevel="0" collapsed="false">
      <c r="B149" s="0" t="s">
        <v>108</v>
      </c>
    </row>
    <row r="150" customFormat="false" ht="12" hidden="false" customHeight="false" outlineLevel="0" collapsed="false">
      <c r="B150" s="0" t="s">
        <v>109</v>
      </c>
    </row>
    <row r="151" customFormat="false" ht="12" hidden="false" customHeight="false" outlineLevel="0" collapsed="false">
      <c r="B151" s="0" t="s">
        <v>110</v>
      </c>
    </row>
    <row r="153" customFormat="false" ht="12" hidden="false" customHeight="false" outlineLevel="0" collapsed="false">
      <c r="B153" s="0" t="s">
        <v>111</v>
      </c>
    </row>
    <row r="154" customFormat="false" ht="12" hidden="false" customHeight="false" outlineLevel="0" collapsed="false">
      <c r="B154" s="0" t="s">
        <v>112</v>
      </c>
    </row>
    <row r="156" customFormat="false" ht="12" hidden="false" customHeight="false" outlineLevel="0" collapsed="false">
      <c r="B156" s="0" t="s">
        <v>113</v>
      </c>
    </row>
    <row r="157" customFormat="false" ht="12" hidden="false" customHeight="false" outlineLevel="0" collapsed="false">
      <c r="B157" s="0" t="s">
        <v>114</v>
      </c>
    </row>
    <row r="158" customFormat="false" ht="12" hidden="false" customHeight="false" outlineLevel="0" collapsed="false">
      <c r="B158" s="0" t="s">
        <v>115</v>
      </c>
    </row>
    <row r="159" customFormat="false" ht="12" hidden="false" customHeight="false" outlineLevel="0" collapsed="false">
      <c r="B159" s="0" t="s">
        <v>116</v>
      </c>
    </row>
    <row r="160" customFormat="false" ht="12" hidden="false" customHeight="false" outlineLevel="0" collapsed="false">
      <c r="B160" s="0" t="s">
        <v>117</v>
      </c>
    </row>
    <row r="162" customFormat="false" ht="12" hidden="false" customHeight="false" outlineLevel="0" collapsed="false">
      <c r="B162" s="0" t="s">
        <v>118</v>
      </c>
    </row>
  </sheetData>
  <hyperlinks>
    <hyperlink ref="A1" location="Main!A1" display="Main"/>
    <hyperlink ref="C109" r:id="rId1" display="https://onlinelibrary.wiley.com/doi/full/10.1111/bjh.14768?sid=nlm%3Apubme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250" zoomScaleNormal="250" zoomScalePageLayoutView="100" workbookViewId="0">
      <selection pane="topLeft" activeCell="A1" activeCellId="0" sqref="A1"/>
    </sheetView>
  </sheetViews>
  <sheetFormatPr defaultColWidth="8.6796875" defaultRowHeight="12" zeroHeight="false" outlineLevelRow="0" outlineLevelCol="0"/>
  <cols>
    <col collapsed="false" customWidth="true" hidden="false" outlineLevel="0" max="1" min="1" style="0" width="4.63"/>
  </cols>
  <sheetData>
    <row r="1" customFormat="false" ht="12" hidden="false" customHeight="false" outlineLevel="0" collapsed="false">
      <c r="A1" s="0" t="s">
        <v>19</v>
      </c>
    </row>
    <row r="2" customFormat="false" ht="12" hidden="false" customHeight="false" outlineLevel="0" collapsed="false">
      <c r="B2" s="0" t="s">
        <v>119</v>
      </c>
    </row>
    <row r="3" customFormat="false" ht="12" hidden="false" customHeight="false" outlineLevel="0" collapsed="false">
      <c r="B3" s="0" t="s">
        <v>120</v>
      </c>
    </row>
    <row r="4" customFormat="false" ht="12" hidden="false" customHeight="false" outlineLevel="0" collapsed="false">
      <c r="B4" s="0" t="s">
        <v>121</v>
      </c>
    </row>
    <row r="5" customFormat="false" ht="12" hidden="false" customHeight="false" outlineLevel="0" collapsed="false">
      <c r="B5" s="0" t="s">
        <v>122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90" zoomScaleNormal="190" zoomScalePageLayoutView="100" workbookViewId="0">
      <selection pane="topLeft" activeCell="N9" activeCellId="0" sqref="N9"/>
    </sheetView>
  </sheetViews>
  <sheetFormatPr defaultColWidth="8.82421875" defaultRowHeight="12" zeroHeight="false" outlineLevelRow="0" outlineLevelCol="0"/>
  <cols>
    <col collapsed="false" customWidth="true" hidden="false" outlineLevel="0" max="1" min="1" style="0" width="5"/>
  </cols>
  <sheetData>
    <row r="1" customFormat="false" ht="12" hidden="false" customHeight="false" outlineLevel="0" collapsed="false">
      <c r="A1" s="0" t="s">
        <v>19</v>
      </c>
    </row>
    <row r="2" customFormat="false" ht="12.75" hidden="false" customHeight="true" outlineLevel="0" collapsed="false">
      <c r="B2" s="17" t="s">
        <v>123</v>
      </c>
    </row>
    <row r="3" customFormat="false" ht="12" hidden="false" customHeight="false" outlineLevel="0" collapsed="false">
      <c r="B3" s="0" t="s">
        <v>124</v>
      </c>
    </row>
    <row r="4" customFormat="false" ht="12" hidden="false" customHeight="false" outlineLevel="0" collapsed="false">
      <c r="B4" s="0" t="s">
        <v>125</v>
      </c>
    </row>
    <row r="5" customFormat="false" ht="12" hidden="false" customHeight="false" outlineLevel="0" collapsed="false">
      <c r="B5" s="0" t="s">
        <v>126</v>
      </c>
    </row>
    <row r="6" customFormat="false" ht="12" hidden="false" customHeight="false" outlineLevel="0" collapsed="false">
      <c r="C6" s="0" t="s">
        <v>127</v>
      </c>
    </row>
    <row r="7" customFormat="false" ht="12" hidden="false" customHeight="false" outlineLevel="0" collapsed="false">
      <c r="B7" s="0" t="s">
        <v>128</v>
      </c>
    </row>
    <row r="10" customFormat="false" ht="12.75" hidden="false" customHeight="true" outlineLevel="0" collapsed="false">
      <c r="B10" s="17" t="s">
        <v>129</v>
      </c>
    </row>
    <row r="11" customFormat="false" ht="12" hidden="false" customHeight="false" outlineLevel="0" collapsed="false">
      <c r="B11" s="0" t="s">
        <v>130</v>
      </c>
    </row>
    <row r="13" customFormat="false" ht="12.75" hidden="false" customHeight="true" outlineLevel="0" collapsed="false">
      <c r="B13" s="17" t="s">
        <v>131</v>
      </c>
    </row>
    <row r="14" customFormat="false" ht="12.65" hidden="false" customHeight="false" outlineLevel="0" collapsed="false">
      <c r="B14" s="0" t="s">
        <v>132</v>
      </c>
    </row>
    <row r="15" customFormat="false" ht="12.65" hidden="false" customHeight="false" outlineLevel="0" collapsed="false">
      <c r="B15" s="0" t="s">
        <v>133</v>
      </c>
    </row>
    <row r="16" customFormat="false" ht="12.65" hidden="false" customHeight="false" outlineLevel="0" collapsed="false">
      <c r="B16" s="0" t="s">
        <v>134</v>
      </c>
    </row>
    <row r="17" customFormat="false" ht="12.65" hidden="false" customHeight="false" outlineLevel="0" collapsed="false"/>
    <row r="18" customFormat="false" ht="12.65" hidden="false" customHeight="false" outlineLevel="0" collapsed="false"/>
    <row r="19" customFormat="false" ht="12.65" hidden="false" customHeight="false" outlineLevel="0" collapsed="false"/>
    <row r="20" customFormat="false" ht="12.65" hidden="false" customHeight="false" outlineLevel="0" collapsed="false"/>
    <row r="21" customFormat="false" ht="12.65" hidden="false" customHeight="false" outlineLevel="0" collapsed="false"/>
    <row r="22" customFormat="false" ht="12.65" hidden="false" customHeight="false" outlineLevel="0" collapsed="false"/>
    <row r="23" customFormat="false" ht="12.65" hidden="false" customHeight="false" outlineLevel="0" collapsed="false"/>
    <row r="24" customFormat="false" ht="12.65" hidden="false" customHeight="false" outlineLevel="0" collapsed="false"/>
    <row r="25" customFormat="false" ht="12.65" hidden="false" customHeight="false" outlineLevel="0" collapsed="false"/>
    <row r="26" customFormat="false" ht="12.65" hidden="false" customHeight="false" outlineLevel="0" collapsed="false"/>
    <row r="27" customFormat="false" ht="12.65" hidden="false" customHeight="false" outlineLevel="0" collapsed="false"/>
    <row r="28" customFormat="false" ht="12.65" hidden="false" customHeight="false" outlineLevel="0" collapsed="false"/>
    <row r="29" customFormat="false" ht="12.65" hidden="false" customHeight="false" outlineLevel="0" collapsed="false"/>
    <row r="30" customFormat="false" ht="12.65" hidden="false" customHeight="false" outlineLevel="0" collapsed="false"/>
    <row r="31" customFormat="false" ht="12.65" hidden="false" customHeight="false" outlineLevel="0" collapsed="false"/>
    <row r="32" customFormat="false" ht="12.65" hidden="false" customHeight="false" outlineLevel="0" collapsed="false"/>
    <row r="33" customFormat="false" ht="12.65" hidden="false" customHeight="false" outlineLevel="0" collapsed="false"/>
    <row r="34" customFormat="false" ht="12.65" hidden="false" customHeight="false" outlineLevel="0" collapsed="false"/>
    <row r="35" customFormat="false" ht="12.65" hidden="false" customHeight="false" outlineLevel="0" collapsed="false"/>
    <row r="36" customFormat="false" ht="12.6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3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pane xSplit="2" ySplit="2" topLeftCell="C57" activePane="bottomRight" state="frozen"/>
      <selection pane="topLeft" activeCell="A1" activeCellId="0" sqref="A1"/>
      <selection pane="topRight" activeCell="C1" activeCellId="0" sqref="C1"/>
      <selection pane="bottomLeft" activeCell="A57" activeCellId="0" sqref="A57"/>
      <selection pane="bottomRight" activeCell="C93" activeCellId="0" sqref="C93"/>
    </sheetView>
  </sheetViews>
  <sheetFormatPr defaultColWidth="8.6796875" defaultRowHeight="12" zeroHeight="false" outlineLevelRow="0" outlineLevelCol="0"/>
  <cols>
    <col collapsed="false" customWidth="true" hidden="false" outlineLevel="0" max="1" min="1" style="0" width="4.63"/>
    <col collapsed="false" customWidth="false" hidden="false" outlineLevel="0" max="9" min="2" style="23" width="8.73"/>
  </cols>
  <sheetData>
    <row r="1" customFormat="false" ht="12" hidden="false" customHeight="false" outlineLevel="0" collapsed="false">
      <c r="A1" s="0" t="s">
        <v>19</v>
      </c>
      <c r="C1" s="24" t="s">
        <v>135</v>
      </c>
      <c r="D1" s="24"/>
      <c r="E1" s="24" t="s">
        <v>136</v>
      </c>
      <c r="F1" s="24"/>
      <c r="G1" s="24" t="s">
        <v>137</v>
      </c>
      <c r="H1" s="24"/>
    </row>
    <row r="2" customFormat="false" ht="12" hidden="false" customHeight="false" outlineLevel="0" collapsed="false">
      <c r="B2" s="23" t="s">
        <v>138</v>
      </c>
      <c r="C2" s="23" t="s">
        <v>136</v>
      </c>
      <c r="D2" s="23" t="s">
        <v>139</v>
      </c>
      <c r="E2" s="23" t="s">
        <v>140</v>
      </c>
      <c r="F2" s="23" t="s">
        <v>141</v>
      </c>
      <c r="G2" s="23" t="s">
        <v>140</v>
      </c>
      <c r="H2" s="23" t="s">
        <v>141</v>
      </c>
      <c r="J2" s="4" t="s">
        <v>142</v>
      </c>
    </row>
    <row r="3" customFormat="false" ht="12" hidden="false" customHeight="false" outlineLevel="0" collapsed="false">
      <c r="B3" s="25" t="n">
        <v>43831</v>
      </c>
      <c r="C3" s="23" t="n">
        <v>1</v>
      </c>
      <c r="J3" s="4" t="s">
        <v>143</v>
      </c>
    </row>
    <row r="4" customFormat="false" ht="12" hidden="false" customHeight="false" outlineLevel="0" collapsed="false">
      <c r="B4" s="25" t="n">
        <f aca="false">B3+31</f>
        <v>43862</v>
      </c>
    </row>
    <row r="5" customFormat="false" ht="12" hidden="false" customHeight="false" outlineLevel="0" collapsed="false">
      <c r="B5" s="25" t="n">
        <f aca="false">B4+31</f>
        <v>43893</v>
      </c>
    </row>
    <row r="6" customFormat="false" ht="12" hidden="false" customHeight="false" outlineLevel="0" collapsed="false">
      <c r="B6" s="25" t="n">
        <f aca="false">B5+31</f>
        <v>43924</v>
      </c>
    </row>
    <row r="7" customFormat="false" ht="12" hidden="false" customHeight="false" outlineLevel="0" collapsed="false">
      <c r="B7" s="25" t="n">
        <f aca="false">B6+31</f>
        <v>43955</v>
      </c>
    </row>
    <row r="8" customFormat="false" ht="12" hidden="false" customHeight="false" outlineLevel="0" collapsed="false">
      <c r="B8" s="25" t="n">
        <f aca="false">B7+31</f>
        <v>43986</v>
      </c>
    </row>
    <row r="9" customFormat="false" ht="12" hidden="false" customHeight="false" outlineLevel="0" collapsed="false">
      <c r="B9" s="25" t="n">
        <f aca="false">B8+31</f>
        <v>44017</v>
      </c>
    </row>
    <row r="10" customFormat="false" ht="12" hidden="false" customHeight="false" outlineLevel="0" collapsed="false">
      <c r="B10" s="25" t="n">
        <f aca="false">B9+31</f>
        <v>44048</v>
      </c>
    </row>
    <row r="11" customFormat="false" ht="12" hidden="false" customHeight="false" outlineLevel="0" collapsed="false">
      <c r="B11" s="25" t="n">
        <f aca="false">B10+31</f>
        <v>44079</v>
      </c>
    </row>
    <row r="12" customFormat="false" ht="12" hidden="false" customHeight="false" outlineLevel="0" collapsed="false">
      <c r="B12" s="25" t="n">
        <f aca="false">B11+31</f>
        <v>44110</v>
      </c>
    </row>
    <row r="13" customFormat="false" ht="12" hidden="false" customHeight="false" outlineLevel="0" collapsed="false">
      <c r="B13" s="25" t="n">
        <f aca="false">B12+31</f>
        <v>44141</v>
      </c>
    </row>
    <row r="14" customFormat="false" ht="12" hidden="false" customHeight="false" outlineLevel="0" collapsed="false">
      <c r="B14" s="25" t="n">
        <f aca="false">B13+31</f>
        <v>44172</v>
      </c>
    </row>
    <row r="15" customFormat="false" ht="12" hidden="false" customHeight="false" outlineLevel="0" collapsed="false">
      <c r="B15" s="25" t="n">
        <f aca="false">B14+31</f>
        <v>44203</v>
      </c>
      <c r="C15" s="23" t="n">
        <v>1</v>
      </c>
      <c r="E15" s="26" t="n">
        <f aca="false">+C15</f>
        <v>1</v>
      </c>
      <c r="F15" s="26" t="n">
        <v>0</v>
      </c>
    </row>
    <row r="16" customFormat="false" ht="12" hidden="false" customHeight="false" outlineLevel="0" collapsed="false">
      <c r="B16" s="25" t="n">
        <f aca="false">B15+31</f>
        <v>44234</v>
      </c>
      <c r="C16" s="23" t="n">
        <v>1</v>
      </c>
      <c r="E16" s="26" t="n">
        <f aca="false">+C16/2</f>
        <v>0.5</v>
      </c>
      <c r="F16" s="26" t="n">
        <f aca="false">+C16/2</f>
        <v>0.5</v>
      </c>
    </row>
    <row r="17" customFormat="false" ht="12" hidden="false" customHeight="false" outlineLevel="0" collapsed="false">
      <c r="B17" s="25" t="n">
        <f aca="false">B16+31</f>
        <v>44265</v>
      </c>
      <c r="C17" s="23" t="n">
        <v>2</v>
      </c>
      <c r="E17" s="26" t="n">
        <f aca="false">+C17/2</f>
        <v>1</v>
      </c>
      <c r="F17" s="26" t="n">
        <f aca="false">+C17/2</f>
        <v>1</v>
      </c>
    </row>
    <row r="18" customFormat="false" ht="12" hidden="false" customHeight="false" outlineLevel="0" collapsed="false">
      <c r="B18" s="25" t="n">
        <f aca="false">B17+31</f>
        <v>44296</v>
      </c>
      <c r="C18" s="23" t="n">
        <v>2</v>
      </c>
      <c r="E18" s="26" t="n">
        <f aca="false">+C18/2</f>
        <v>1</v>
      </c>
      <c r="F18" s="26" t="n">
        <f aca="false">+C18/2</f>
        <v>1</v>
      </c>
    </row>
    <row r="19" customFormat="false" ht="12" hidden="false" customHeight="false" outlineLevel="0" collapsed="false">
      <c r="B19" s="25" t="n">
        <f aca="false">B18+31</f>
        <v>44327</v>
      </c>
      <c r="C19" s="23" t="n">
        <v>3</v>
      </c>
      <c r="E19" s="26" t="n">
        <f aca="false">+C19/2</f>
        <v>1.5</v>
      </c>
      <c r="F19" s="26" t="n">
        <f aca="false">+C19/2</f>
        <v>1.5</v>
      </c>
    </row>
    <row r="20" customFormat="false" ht="12" hidden="false" customHeight="false" outlineLevel="0" collapsed="false">
      <c r="B20" s="25" t="n">
        <f aca="false">B19+31</f>
        <v>44358</v>
      </c>
      <c r="C20" s="23" t="n">
        <v>3</v>
      </c>
      <c r="E20" s="26" t="n">
        <f aca="false">+C20/2</f>
        <v>1.5</v>
      </c>
      <c r="F20" s="26" t="n">
        <f aca="false">+C20/2</f>
        <v>1.5</v>
      </c>
    </row>
    <row r="21" customFormat="false" ht="12" hidden="false" customHeight="false" outlineLevel="0" collapsed="false">
      <c r="B21" s="25" t="n">
        <f aca="false">B20+31</f>
        <v>44389</v>
      </c>
      <c r="C21" s="23" t="n">
        <v>4</v>
      </c>
      <c r="E21" s="26" t="n">
        <f aca="false">+C21/2</f>
        <v>2</v>
      </c>
      <c r="F21" s="26" t="n">
        <f aca="false">+C21/2</f>
        <v>2</v>
      </c>
    </row>
    <row r="22" customFormat="false" ht="12" hidden="false" customHeight="false" outlineLevel="0" collapsed="false">
      <c r="B22" s="25" t="n">
        <f aca="false">B21+31</f>
        <v>44420</v>
      </c>
      <c r="C22" s="23" t="n">
        <v>5</v>
      </c>
      <c r="E22" s="26" t="n">
        <f aca="false">+C22/2</f>
        <v>2.5</v>
      </c>
      <c r="F22" s="26" t="n">
        <f aca="false">+C22/2</f>
        <v>2.5</v>
      </c>
    </row>
    <row r="23" customFormat="false" ht="12" hidden="false" customHeight="false" outlineLevel="0" collapsed="false">
      <c r="B23" s="25" t="n">
        <f aca="false">B22+31</f>
        <v>44451</v>
      </c>
      <c r="C23" s="23" t="n">
        <v>6</v>
      </c>
      <c r="E23" s="26" t="n">
        <f aca="false">+C23/2</f>
        <v>3</v>
      </c>
      <c r="F23" s="26" t="n">
        <f aca="false">+C23/2</f>
        <v>3</v>
      </c>
    </row>
    <row r="24" customFormat="false" ht="12" hidden="false" customHeight="false" outlineLevel="0" collapsed="false">
      <c r="B24" s="25" t="n">
        <f aca="false">B23+31</f>
        <v>44482</v>
      </c>
      <c r="C24" s="23" t="n">
        <v>7</v>
      </c>
      <c r="E24" s="26" t="n">
        <f aca="false">+C24/2</f>
        <v>3.5</v>
      </c>
      <c r="F24" s="26" t="n">
        <f aca="false">+C24/2</f>
        <v>3.5</v>
      </c>
    </row>
    <row r="25" customFormat="false" ht="12" hidden="false" customHeight="false" outlineLevel="0" collapsed="false">
      <c r="B25" s="25" t="n">
        <f aca="false">B24+31</f>
        <v>44513</v>
      </c>
      <c r="C25" s="23" t="n">
        <v>8</v>
      </c>
      <c r="E25" s="26" t="n">
        <f aca="false">+C25/2</f>
        <v>4</v>
      </c>
      <c r="F25" s="26" t="n">
        <f aca="false">+C25/2</f>
        <v>4</v>
      </c>
    </row>
    <row r="26" customFormat="false" ht="12" hidden="false" customHeight="false" outlineLevel="0" collapsed="false">
      <c r="B26" s="25" t="n">
        <f aca="false">B25+31</f>
        <v>44544</v>
      </c>
      <c r="C26" s="23" t="n">
        <v>10</v>
      </c>
      <c r="E26" s="26" t="n">
        <f aca="false">+C26/2</f>
        <v>5</v>
      </c>
      <c r="F26" s="26" t="n">
        <f aca="false">+C26/2</f>
        <v>5</v>
      </c>
    </row>
    <row r="27" customFormat="false" ht="12" hidden="false" customHeight="false" outlineLevel="0" collapsed="false">
      <c r="B27" s="25" t="n">
        <f aca="false">B26+31</f>
        <v>44575</v>
      </c>
      <c r="C27" s="23" t="n">
        <v>12</v>
      </c>
      <c r="E27" s="26" t="n">
        <f aca="false">+C27/2</f>
        <v>6</v>
      </c>
      <c r="F27" s="26" t="n">
        <f aca="false">+C27/2</f>
        <v>6</v>
      </c>
    </row>
    <row r="28" customFormat="false" ht="12" hidden="false" customHeight="false" outlineLevel="0" collapsed="false">
      <c r="B28" s="25" t="n">
        <f aca="false">B27+31</f>
        <v>44606</v>
      </c>
      <c r="C28" s="23" t="n">
        <v>14</v>
      </c>
      <c r="E28" s="26" t="n">
        <f aca="false">+C28/2</f>
        <v>7</v>
      </c>
      <c r="F28" s="26" t="n">
        <f aca="false">+C28/2</f>
        <v>7</v>
      </c>
    </row>
    <row r="29" customFormat="false" ht="12" hidden="false" customHeight="false" outlineLevel="0" collapsed="false">
      <c r="B29" s="25" t="n">
        <f aca="false">B28+31</f>
        <v>44637</v>
      </c>
      <c r="C29" s="23" t="n">
        <v>16</v>
      </c>
      <c r="E29" s="26" t="n">
        <f aca="false">+C29/2</f>
        <v>8</v>
      </c>
      <c r="F29" s="26" t="n">
        <f aca="false">+C29/2</f>
        <v>8</v>
      </c>
    </row>
    <row r="30" customFormat="false" ht="12" hidden="false" customHeight="false" outlineLevel="0" collapsed="false">
      <c r="B30" s="25" t="n">
        <f aca="false">B29+31</f>
        <v>44668</v>
      </c>
      <c r="C30" s="23" t="n">
        <v>18</v>
      </c>
      <c r="E30" s="26" t="n">
        <f aca="false">+C30/2</f>
        <v>9</v>
      </c>
      <c r="F30" s="26" t="n">
        <f aca="false">+C30/2</f>
        <v>9</v>
      </c>
    </row>
    <row r="31" customFormat="false" ht="12" hidden="false" customHeight="false" outlineLevel="0" collapsed="false">
      <c r="B31" s="25" t="n">
        <f aca="false">B30+31</f>
        <v>44699</v>
      </c>
      <c r="C31" s="23" t="n">
        <v>21</v>
      </c>
      <c r="E31" s="26" t="n">
        <f aca="false">+C31/2</f>
        <v>10.5</v>
      </c>
      <c r="F31" s="26" t="n">
        <f aca="false">+C31/2</f>
        <v>10.5</v>
      </c>
    </row>
    <row r="32" customFormat="false" ht="12" hidden="false" customHeight="false" outlineLevel="0" collapsed="false">
      <c r="B32" s="25" t="n">
        <f aca="false">B31+31</f>
        <v>44730</v>
      </c>
      <c r="C32" s="23" t="n">
        <v>24</v>
      </c>
      <c r="E32" s="26" t="n">
        <f aca="false">+C32/2</f>
        <v>12</v>
      </c>
      <c r="F32" s="26" t="n">
        <f aca="false">+C32/2</f>
        <v>12</v>
      </c>
    </row>
    <row r="33" customFormat="false" ht="12" hidden="false" customHeight="false" outlineLevel="0" collapsed="false">
      <c r="B33" s="25" t="n">
        <f aca="false">B32+31</f>
        <v>44761</v>
      </c>
      <c r="C33" s="23" t="n">
        <v>27</v>
      </c>
      <c r="E33" s="26" t="n">
        <f aca="false">+C33/2</f>
        <v>13.5</v>
      </c>
      <c r="F33" s="26" t="n">
        <f aca="false">+C33/2</f>
        <v>13.5</v>
      </c>
    </row>
    <row r="34" customFormat="false" ht="12" hidden="false" customHeight="false" outlineLevel="0" collapsed="false">
      <c r="B34" s="25" t="n">
        <f aca="false">B33+31</f>
        <v>44792</v>
      </c>
      <c r="C34" s="23" t="n">
        <v>30</v>
      </c>
      <c r="E34" s="26" t="n">
        <f aca="false">+C34/2</f>
        <v>15</v>
      </c>
      <c r="F34" s="26" t="n">
        <f aca="false">+C34/2</f>
        <v>15</v>
      </c>
    </row>
    <row r="35" customFormat="false" ht="12" hidden="false" customHeight="false" outlineLevel="0" collapsed="false">
      <c r="B35" s="25" t="n">
        <f aca="false">B34+31</f>
        <v>44823</v>
      </c>
      <c r="C35" s="23" t="n">
        <f aca="false">+C34+4</f>
        <v>34</v>
      </c>
      <c r="E35" s="26" t="n">
        <f aca="false">+C35/2</f>
        <v>17</v>
      </c>
      <c r="F35" s="26" t="n">
        <f aca="false">+C35/2</f>
        <v>17</v>
      </c>
    </row>
    <row r="36" customFormat="false" ht="12" hidden="false" customHeight="false" outlineLevel="0" collapsed="false">
      <c r="B36" s="25" t="n">
        <f aca="false">B35+31</f>
        <v>44854</v>
      </c>
      <c r="C36" s="23" t="n">
        <f aca="false">+C35+4</f>
        <v>38</v>
      </c>
      <c r="E36" s="26" t="n">
        <f aca="false">+C36/2</f>
        <v>19</v>
      </c>
      <c r="F36" s="26" t="n">
        <f aca="false">+C36/2</f>
        <v>19</v>
      </c>
    </row>
    <row r="37" customFormat="false" ht="12" hidden="false" customHeight="false" outlineLevel="0" collapsed="false">
      <c r="B37" s="25" t="n">
        <f aca="false">B36+31</f>
        <v>44885</v>
      </c>
      <c r="C37" s="23" t="n">
        <f aca="false">+C36+5</f>
        <v>43</v>
      </c>
      <c r="E37" s="26" t="n">
        <f aca="false">+C37/2</f>
        <v>21.5</v>
      </c>
      <c r="F37" s="26" t="n">
        <f aca="false">+C37/2</f>
        <v>21.5</v>
      </c>
    </row>
    <row r="38" customFormat="false" ht="12" hidden="false" customHeight="false" outlineLevel="0" collapsed="false">
      <c r="B38" s="25" t="n">
        <f aca="false">B37+31</f>
        <v>44916</v>
      </c>
      <c r="C38" s="23" t="n">
        <f aca="false">+C37+5</f>
        <v>48</v>
      </c>
      <c r="E38" s="26" t="n">
        <f aca="false">+C38/2</f>
        <v>24</v>
      </c>
      <c r="F38" s="26" t="n">
        <f aca="false">+C38/2</f>
        <v>24</v>
      </c>
    </row>
    <row r="39" customFormat="false" ht="12" hidden="false" customHeight="false" outlineLevel="0" collapsed="false">
      <c r="B39" s="25" t="n">
        <f aca="false">B38+31</f>
        <v>44947</v>
      </c>
      <c r="C39" s="23" t="n">
        <f aca="false">+C38+5</f>
        <v>53</v>
      </c>
      <c r="E39" s="26" t="n">
        <f aca="false">+C39/2</f>
        <v>26.5</v>
      </c>
      <c r="F39" s="26" t="n">
        <f aca="false">+C39/2</f>
        <v>26.5</v>
      </c>
    </row>
    <row r="40" customFormat="false" ht="12" hidden="false" customHeight="false" outlineLevel="0" collapsed="false">
      <c r="B40" s="25" t="n">
        <f aca="false">B39+31</f>
        <v>44978</v>
      </c>
      <c r="C40" s="23" t="n">
        <f aca="false">+C39+5</f>
        <v>58</v>
      </c>
      <c r="E40" s="26" t="n">
        <f aca="false">+C40/2</f>
        <v>29</v>
      </c>
      <c r="F40" s="26" t="n">
        <f aca="false">+C40/2</f>
        <v>29</v>
      </c>
    </row>
    <row r="41" customFormat="false" ht="12" hidden="false" customHeight="false" outlineLevel="0" collapsed="false">
      <c r="B41" s="25" t="n">
        <f aca="false">B40+31</f>
        <v>45009</v>
      </c>
      <c r="C41" s="23" t="n">
        <f aca="false">+C40+5</f>
        <v>63</v>
      </c>
      <c r="E41" s="26" t="n">
        <f aca="false">+C41/2</f>
        <v>31.5</v>
      </c>
      <c r="F41" s="26" t="n">
        <f aca="false">+C41/2</f>
        <v>31.5</v>
      </c>
    </row>
    <row r="42" customFormat="false" ht="12" hidden="false" customHeight="false" outlineLevel="0" collapsed="false">
      <c r="B42" s="25" t="n">
        <f aca="false">B41+31</f>
        <v>45040</v>
      </c>
      <c r="C42" s="23" t="n">
        <f aca="false">+C41+5</f>
        <v>68</v>
      </c>
      <c r="E42" s="26" t="n">
        <f aca="false">+C42/2</f>
        <v>34</v>
      </c>
      <c r="F42" s="26" t="n">
        <f aca="false">+C42/2</f>
        <v>34</v>
      </c>
    </row>
    <row r="43" customFormat="false" ht="12" hidden="false" customHeight="false" outlineLevel="0" collapsed="false">
      <c r="B43" s="25" t="n">
        <f aca="false">B42+31</f>
        <v>45071</v>
      </c>
      <c r="C43" s="23" t="n">
        <f aca="false">+C42+5</f>
        <v>73</v>
      </c>
      <c r="E43" s="26" t="n">
        <f aca="false">+C43/2</f>
        <v>36.5</v>
      </c>
      <c r="F43" s="26" t="n">
        <f aca="false">+C43/2</f>
        <v>36.5</v>
      </c>
    </row>
    <row r="44" customFormat="false" ht="12" hidden="false" customHeight="false" outlineLevel="0" collapsed="false">
      <c r="B44" s="25" t="n">
        <f aca="false">B43+31</f>
        <v>45102</v>
      </c>
      <c r="C44" s="23" t="n">
        <f aca="false">+C43+5</f>
        <v>78</v>
      </c>
      <c r="E44" s="26" t="n">
        <f aca="false">+C44/2</f>
        <v>39</v>
      </c>
      <c r="F44" s="26" t="n">
        <f aca="false">+C44/2</f>
        <v>39</v>
      </c>
    </row>
    <row r="45" customFormat="false" ht="12" hidden="false" customHeight="false" outlineLevel="0" collapsed="false">
      <c r="B45" s="25" t="n">
        <f aca="false">B44+31</f>
        <v>45133</v>
      </c>
      <c r="C45" s="23" t="n">
        <f aca="false">+C44+5</f>
        <v>83</v>
      </c>
      <c r="E45" s="26" t="n">
        <f aca="false">+C45/2</f>
        <v>41.5</v>
      </c>
      <c r="F45" s="26" t="n">
        <f aca="false">+C45/2</f>
        <v>41.5</v>
      </c>
    </row>
    <row r="46" customFormat="false" ht="12" hidden="false" customHeight="false" outlineLevel="0" collapsed="false">
      <c r="B46" s="25" t="n">
        <f aca="false">B45+31</f>
        <v>45164</v>
      </c>
      <c r="C46" s="23" t="n">
        <f aca="false">+C45+5</f>
        <v>88</v>
      </c>
      <c r="E46" s="26" t="n">
        <f aca="false">+C46/2</f>
        <v>44</v>
      </c>
      <c r="F46" s="26" t="n">
        <f aca="false">+C46/2</f>
        <v>44</v>
      </c>
    </row>
    <row r="47" customFormat="false" ht="12" hidden="false" customHeight="false" outlineLevel="0" collapsed="false">
      <c r="B47" s="25" t="n">
        <f aca="false">B46+31</f>
        <v>45195</v>
      </c>
      <c r="C47" s="23" t="n">
        <f aca="false">+C46+5</f>
        <v>93</v>
      </c>
      <c r="E47" s="26" t="n">
        <f aca="false">+C47/2</f>
        <v>46.5</v>
      </c>
      <c r="F47" s="26" t="n">
        <f aca="false">+C47/2</f>
        <v>46.5</v>
      </c>
    </row>
    <row r="48" customFormat="false" ht="12" hidden="false" customHeight="false" outlineLevel="0" collapsed="false">
      <c r="B48" s="25" t="n">
        <f aca="false">B47+31</f>
        <v>45226</v>
      </c>
      <c r="C48" s="23" t="n">
        <f aca="false">+C47+5</f>
        <v>98</v>
      </c>
      <c r="E48" s="26" t="n">
        <f aca="false">+C48/2</f>
        <v>49</v>
      </c>
      <c r="F48" s="26" t="n">
        <f aca="false">+C48/2</f>
        <v>49</v>
      </c>
    </row>
    <row r="49" customFormat="false" ht="12" hidden="false" customHeight="false" outlineLevel="0" collapsed="false">
      <c r="B49" s="25" t="n">
        <f aca="false">B48+31</f>
        <v>45257</v>
      </c>
      <c r="C49" s="23" t="n">
        <f aca="false">+C48+5</f>
        <v>103</v>
      </c>
      <c r="E49" s="26" t="n">
        <f aca="false">+C49/2</f>
        <v>51.5</v>
      </c>
      <c r="F49" s="26" t="n">
        <f aca="false">+C49/2</f>
        <v>51.5</v>
      </c>
      <c r="J49" s="4" t="s">
        <v>144</v>
      </c>
    </row>
    <row r="50" customFormat="false" ht="12" hidden="false" customHeight="false" outlineLevel="0" collapsed="false">
      <c r="B50" s="25" t="n">
        <f aca="false">B49+31</f>
        <v>45288</v>
      </c>
      <c r="C50" s="23" t="n">
        <f aca="false">+C49+5</f>
        <v>108</v>
      </c>
      <c r="E50" s="26" t="n">
        <f aca="false">+C50/2</f>
        <v>54</v>
      </c>
      <c r="F50" s="26" t="n">
        <f aca="false">+C50/2</f>
        <v>54</v>
      </c>
    </row>
    <row r="51" customFormat="false" ht="12" hidden="false" customHeight="false" outlineLevel="0" collapsed="false">
      <c r="B51" s="25" t="n">
        <f aca="false">B50+31</f>
        <v>45319</v>
      </c>
      <c r="C51" s="23" t="n">
        <f aca="false">+C50+5</f>
        <v>113</v>
      </c>
      <c r="E51" s="26" t="n">
        <f aca="false">+C51/2</f>
        <v>56.5</v>
      </c>
      <c r="F51" s="26" t="n">
        <f aca="false">+C51/2</f>
        <v>56.5</v>
      </c>
    </row>
    <row r="52" customFormat="false" ht="12" hidden="false" customHeight="false" outlineLevel="0" collapsed="false">
      <c r="B52" s="25" t="n">
        <f aca="false">B51+31</f>
        <v>45350</v>
      </c>
      <c r="C52" s="23" t="n">
        <f aca="false">+C51+5</f>
        <v>118</v>
      </c>
      <c r="E52" s="26" t="n">
        <f aca="false">+C52/2</f>
        <v>59</v>
      </c>
      <c r="F52" s="26" t="n">
        <f aca="false">+C52/2</f>
        <v>59</v>
      </c>
    </row>
    <row r="53" customFormat="false" ht="12" hidden="false" customHeight="false" outlineLevel="0" collapsed="false">
      <c r="B53" s="25" t="n">
        <f aca="false">B52+31</f>
        <v>45381</v>
      </c>
      <c r="C53" s="23" t="n">
        <v>123</v>
      </c>
      <c r="E53" s="26" t="n">
        <f aca="false">+C53/2</f>
        <v>61.5</v>
      </c>
      <c r="F53" s="26" t="n">
        <f aca="false">+C53/2</f>
        <v>61.5</v>
      </c>
    </row>
    <row r="54" customFormat="false" ht="12" hidden="false" customHeight="false" outlineLevel="0" collapsed="false">
      <c r="B54" s="25" t="n">
        <f aca="false">B53+31</f>
        <v>45412</v>
      </c>
    </row>
    <row r="55" customFormat="false" ht="12" hidden="false" customHeight="false" outlineLevel="0" collapsed="false">
      <c r="B55" s="25" t="n">
        <f aca="false">B54+31</f>
        <v>45443</v>
      </c>
    </row>
    <row r="56" customFormat="false" ht="12" hidden="false" customHeight="false" outlineLevel="0" collapsed="false">
      <c r="B56" s="25" t="n">
        <f aca="false">B55+29</f>
        <v>45472</v>
      </c>
    </row>
    <row r="57" customFormat="false" ht="12" hidden="false" customHeight="false" outlineLevel="0" collapsed="false">
      <c r="B57" s="25" t="n">
        <f aca="false">B56+31</f>
        <v>45503</v>
      </c>
    </row>
    <row r="58" customFormat="false" ht="12" hidden="false" customHeight="false" outlineLevel="0" collapsed="false">
      <c r="B58" s="25" t="n">
        <f aca="false">B57+31</f>
        <v>45534</v>
      </c>
    </row>
    <row r="59" customFormat="false" ht="12" hidden="false" customHeight="false" outlineLevel="0" collapsed="false">
      <c r="B59" s="25" t="n">
        <f aca="false">B58+31</f>
        <v>45565</v>
      </c>
    </row>
    <row r="60" customFormat="false" ht="12" hidden="false" customHeight="false" outlineLevel="0" collapsed="false">
      <c r="B60" s="25" t="n">
        <f aca="false">B59+29</f>
        <v>45594</v>
      </c>
    </row>
    <row r="61" customFormat="false" ht="12" hidden="false" customHeight="false" outlineLevel="0" collapsed="false">
      <c r="B61" s="25" t="n">
        <f aca="false">B60+31</f>
        <v>45625</v>
      </c>
    </row>
    <row r="62" customFormat="false" ht="12" hidden="false" customHeight="false" outlineLevel="0" collapsed="false">
      <c r="B62" s="25" t="n">
        <f aca="false">B61+31</f>
        <v>45656</v>
      </c>
      <c r="D62" s="23" t="n">
        <v>60</v>
      </c>
    </row>
    <row r="63" customFormat="false" ht="12" hidden="false" customHeight="false" outlineLevel="0" collapsed="false">
      <c r="B63" s="25" t="n">
        <f aca="false">B62+31</f>
        <v>45687</v>
      </c>
      <c r="D63" s="23" t="n">
        <v>61</v>
      </c>
    </row>
    <row r="64" customFormat="false" ht="12" hidden="false" customHeight="false" outlineLevel="0" collapsed="false">
      <c r="B64" s="25" t="n">
        <f aca="false">B63+28</f>
        <v>45715</v>
      </c>
      <c r="D64" s="23" t="n">
        <v>62</v>
      </c>
    </row>
    <row r="65" customFormat="false" ht="12" hidden="false" customHeight="false" outlineLevel="0" collapsed="false">
      <c r="B65" s="25" t="n">
        <f aca="false">B64+31</f>
        <v>45746</v>
      </c>
      <c r="D65" s="23" t="n">
        <v>63</v>
      </c>
    </row>
    <row r="66" customFormat="false" ht="12" hidden="false" customHeight="false" outlineLevel="0" collapsed="false">
      <c r="B66" s="25" t="n">
        <f aca="false">B65+31</f>
        <v>45777</v>
      </c>
      <c r="D66" s="23" t="n">
        <v>64</v>
      </c>
    </row>
    <row r="67" customFormat="false" ht="12" hidden="false" customHeight="false" outlineLevel="0" collapsed="false">
      <c r="B67" s="25" t="n">
        <f aca="false">B66+31</f>
        <v>45808</v>
      </c>
      <c r="D67" s="23" t="n">
        <v>65</v>
      </c>
    </row>
    <row r="68" customFormat="false" ht="12" hidden="false" customHeight="false" outlineLevel="0" collapsed="false">
      <c r="B68" s="25" t="n">
        <f aca="false">B67+28</f>
        <v>45836</v>
      </c>
      <c r="D68" s="23" t="n">
        <v>66</v>
      </c>
    </row>
    <row r="69" customFormat="false" ht="12" hidden="false" customHeight="false" outlineLevel="0" collapsed="false">
      <c r="B69" s="25" t="n">
        <f aca="false">B68+31</f>
        <v>45867</v>
      </c>
      <c r="D69" s="23" t="n">
        <v>67</v>
      </c>
    </row>
    <row r="70" customFormat="false" ht="12" hidden="false" customHeight="false" outlineLevel="0" collapsed="false">
      <c r="B70" s="25" t="n">
        <f aca="false">B69+31</f>
        <v>45898</v>
      </c>
      <c r="D70" s="23" t="n">
        <v>68</v>
      </c>
    </row>
    <row r="71" customFormat="false" ht="12" hidden="false" customHeight="false" outlineLevel="0" collapsed="false">
      <c r="B71" s="25" t="n">
        <f aca="false">B70+31</f>
        <v>45929</v>
      </c>
      <c r="D71" s="23" t="n">
        <v>69</v>
      </c>
    </row>
    <row r="72" customFormat="false" ht="12" hidden="false" customHeight="false" outlineLevel="0" collapsed="false">
      <c r="B72" s="25" t="n">
        <f aca="false">B71+31</f>
        <v>45960</v>
      </c>
      <c r="D72" s="23" t="n">
        <v>70</v>
      </c>
    </row>
    <row r="73" customFormat="false" ht="12" hidden="false" customHeight="false" outlineLevel="0" collapsed="false">
      <c r="B73" s="25" t="n">
        <f aca="false">B72+31</f>
        <v>45991</v>
      </c>
      <c r="D73" s="23" t="n">
        <v>71</v>
      </c>
    </row>
    <row r="74" customFormat="false" ht="12" hidden="false" customHeight="false" outlineLevel="0" collapsed="false">
      <c r="B74" s="25" t="n">
        <f aca="false">B73+31</f>
        <v>46022</v>
      </c>
      <c r="D74" s="23" t="n">
        <v>72</v>
      </c>
    </row>
    <row r="75" customFormat="false" ht="12" hidden="false" customHeight="false" outlineLevel="0" collapsed="false">
      <c r="B75" s="25" t="n">
        <f aca="false">B74+31</f>
        <v>46053</v>
      </c>
      <c r="D75" s="23" t="n">
        <v>73</v>
      </c>
    </row>
    <row r="76" customFormat="false" ht="12" hidden="false" customHeight="false" outlineLevel="0" collapsed="false">
      <c r="B76" s="25" t="n">
        <f aca="false">B75+28</f>
        <v>46081</v>
      </c>
      <c r="D76" s="23" t="n">
        <v>74</v>
      </c>
    </row>
    <row r="77" customFormat="false" ht="12" hidden="false" customHeight="false" outlineLevel="0" collapsed="false">
      <c r="B77" s="25" t="n">
        <f aca="false">B76+31</f>
        <v>46112</v>
      </c>
      <c r="D77" s="23" t="n">
        <v>75</v>
      </c>
    </row>
    <row r="78" customFormat="false" ht="12" hidden="false" customHeight="false" outlineLevel="0" collapsed="false">
      <c r="B78" s="25" t="n">
        <f aca="false">B77+28</f>
        <v>46140</v>
      </c>
      <c r="D78" s="23" t="n">
        <v>76</v>
      </c>
    </row>
    <row r="79" customFormat="false" ht="12" hidden="false" customHeight="false" outlineLevel="0" collapsed="false">
      <c r="B79" s="25" t="n">
        <f aca="false">B78+31</f>
        <v>46171</v>
      </c>
      <c r="D79" s="23" t="n">
        <v>78</v>
      </c>
    </row>
    <row r="80" customFormat="false" ht="12" hidden="false" customHeight="false" outlineLevel="0" collapsed="false">
      <c r="B80" s="25" t="n">
        <f aca="false">B79+31</f>
        <v>46202</v>
      </c>
    </row>
    <row r="81" customFormat="false" ht="12" hidden="false" customHeight="false" outlineLevel="0" collapsed="false">
      <c r="B81" s="25" t="n">
        <f aca="false">B80+31</f>
        <v>46233</v>
      </c>
    </row>
    <row r="82" customFormat="false" ht="12" hidden="false" customHeight="false" outlineLevel="0" collapsed="false">
      <c r="B82" s="25" t="n">
        <f aca="false">B81+31</f>
        <v>46264</v>
      </c>
    </row>
    <row r="83" customFormat="false" ht="12" hidden="false" customHeight="false" outlineLevel="0" collapsed="false">
      <c r="B83" s="25" t="n">
        <f aca="false">B82+31</f>
        <v>46295</v>
      </c>
    </row>
    <row r="84" customFormat="false" ht="12" hidden="false" customHeight="false" outlineLevel="0" collapsed="false">
      <c r="B84" s="25" t="n">
        <f aca="false">B83+28</f>
        <v>46323</v>
      </c>
    </row>
    <row r="85" customFormat="false" ht="12" hidden="false" customHeight="false" outlineLevel="0" collapsed="false">
      <c r="B85" s="25" t="n">
        <f aca="false">B84+31</f>
        <v>46354</v>
      </c>
    </row>
    <row r="86" customFormat="false" ht="12" hidden="false" customHeight="false" outlineLevel="0" collapsed="false">
      <c r="B86" s="25" t="n">
        <f aca="false">B85+31</f>
        <v>46385</v>
      </c>
    </row>
    <row r="87" customFormat="false" ht="12" hidden="false" customHeight="false" outlineLevel="0" collapsed="false">
      <c r="B87" s="25"/>
    </row>
    <row r="88" customFormat="false" ht="12" hidden="false" customHeight="false" outlineLevel="0" collapsed="false">
      <c r="B88" s="25"/>
    </row>
    <row r="89" customFormat="false" ht="12" hidden="false" customHeight="false" outlineLevel="0" collapsed="false">
      <c r="B89" s="25"/>
    </row>
    <row r="90" customFormat="false" ht="12" hidden="false" customHeight="false" outlineLevel="0" collapsed="false">
      <c r="B90" s="25"/>
    </row>
    <row r="219" customFormat="false" ht="12" hidden="false" customHeight="false" outlineLevel="0" collapsed="false">
      <c r="B219" s="26"/>
    </row>
    <row r="220" customFormat="false" ht="12" hidden="false" customHeight="false" outlineLevel="0" collapsed="false">
      <c r="B220" s="26"/>
    </row>
    <row r="221" customFormat="false" ht="12" hidden="false" customHeight="false" outlineLevel="0" collapsed="false">
      <c r="B221" s="26"/>
    </row>
    <row r="222" customFormat="false" ht="12" hidden="false" customHeight="false" outlineLevel="0" collapsed="false">
      <c r="B222" s="26"/>
    </row>
    <row r="223" customFormat="false" ht="12" hidden="false" customHeight="false" outlineLevel="0" collapsed="false">
      <c r="B223" s="26"/>
    </row>
    <row r="224" customFormat="false" ht="12" hidden="false" customHeight="false" outlineLevel="0" collapsed="false">
      <c r="B224" s="26"/>
    </row>
    <row r="225" customFormat="false" ht="12" hidden="false" customHeight="false" outlineLevel="0" collapsed="false">
      <c r="B225" s="26"/>
    </row>
    <row r="226" customFormat="false" ht="12" hidden="false" customHeight="false" outlineLevel="0" collapsed="false">
      <c r="B226" s="26"/>
    </row>
    <row r="227" customFormat="false" ht="12" hidden="false" customHeight="false" outlineLevel="0" collapsed="false">
      <c r="B227" s="26"/>
    </row>
    <row r="228" customFormat="false" ht="12" hidden="false" customHeight="false" outlineLevel="0" collapsed="false">
      <c r="B228" s="26"/>
    </row>
    <row r="229" customFormat="false" ht="12" hidden="false" customHeight="false" outlineLevel="0" collapsed="false">
      <c r="B229" s="26"/>
    </row>
    <row r="230" customFormat="false" ht="12" hidden="false" customHeight="false" outlineLevel="0" collapsed="false">
      <c r="B230" s="26"/>
    </row>
    <row r="231" customFormat="false" ht="12" hidden="false" customHeight="false" outlineLevel="0" collapsed="false">
      <c r="B231" s="26"/>
    </row>
    <row r="232" customFormat="false" ht="12" hidden="false" customHeight="false" outlineLevel="0" collapsed="false">
      <c r="B232" s="26"/>
    </row>
    <row r="233" customFormat="false" ht="12" hidden="false" customHeight="false" outlineLevel="0" collapsed="false">
      <c r="B233" s="26"/>
    </row>
  </sheetData>
  <mergeCells count="3">
    <mergeCell ref="C1:D1"/>
    <mergeCell ref="E1:F1"/>
    <mergeCell ref="G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32"/>
  <sheetViews>
    <sheetView showFormulas="false" showGridLines="true" showRowColHeaders="true" showZeros="true" rightToLeft="false" tabSelected="false" showOutlineSymbols="true" defaultGridColor="true" view="normal" topLeftCell="A1" colorId="64" zoomScale="205" zoomScaleNormal="205" zoomScalePageLayoutView="100" workbookViewId="0">
      <pane xSplit="2" ySplit="5" topLeftCell="C106" activePane="bottomRight" state="frozen"/>
      <selection pane="topLeft" activeCell="A1" activeCellId="0" sqref="A1"/>
      <selection pane="topRight" activeCell="C1" activeCellId="0" sqref="C1"/>
      <selection pane="bottomLeft" activeCell="A106" activeCellId="0" sqref="A106"/>
      <selection pane="bottomRight" activeCell="C132" activeCellId="0" sqref="C132"/>
    </sheetView>
  </sheetViews>
  <sheetFormatPr defaultColWidth="8.6796875" defaultRowHeight="12" zeroHeight="false" outlineLevelRow="0" outlineLevelCol="0"/>
  <cols>
    <col collapsed="false" customWidth="true" hidden="false" outlineLevel="0" max="1" min="1" style="0" width="6.63"/>
    <col collapsed="false" customWidth="true" hidden="false" outlineLevel="0" max="2" min="2" style="0" width="10.45"/>
    <col collapsed="false" customWidth="true" hidden="false" outlineLevel="0" max="3" min="3" style="0" width="11.82"/>
    <col collapsed="false" customWidth="true" hidden="false" outlineLevel="0" max="4" min="4" style="10" width="0.36"/>
    <col collapsed="false" customWidth="true" hidden="false" outlineLevel="0" max="5" min="5" style="10" width="10"/>
    <col collapsed="false" customWidth="false" hidden="false" outlineLevel="0" max="8" min="6" style="10" width="8.73"/>
  </cols>
  <sheetData>
    <row r="2" customFormat="false" ht="12" hidden="false" customHeight="false" outlineLevel="0" collapsed="false">
      <c r="B2" s="0" t="s">
        <v>145</v>
      </c>
      <c r="C2" s="0" t="n">
        <v>24</v>
      </c>
      <c r="E2" s="10" t="s">
        <v>146</v>
      </c>
    </row>
    <row r="3" customFormat="false" ht="12" hidden="false" customHeight="false" outlineLevel="0" collapsed="false">
      <c r="B3" s="0" t="s">
        <v>145</v>
      </c>
      <c r="C3" s="0" t="n">
        <v>24</v>
      </c>
      <c r="E3" s="10" t="s">
        <v>140</v>
      </c>
    </row>
    <row r="4" customFormat="false" ht="12" hidden="false" customHeight="false" outlineLevel="0" collapsed="false">
      <c r="J4" s="24" t="s">
        <v>147</v>
      </c>
      <c r="K4" s="24"/>
    </row>
    <row r="5" customFormat="false" ht="12" hidden="false" customHeight="false" outlineLevel="0" collapsed="false">
      <c r="B5" s="25" t="s">
        <v>148</v>
      </c>
      <c r="C5" s="4" t="s">
        <v>149</v>
      </c>
      <c r="D5" s="10" t="s">
        <v>150</v>
      </c>
      <c r="E5" s="10" t="s">
        <v>151</v>
      </c>
      <c r="F5" s="10" t="s">
        <v>146</v>
      </c>
      <c r="G5" s="10" t="s">
        <v>152</v>
      </c>
      <c r="H5" s="10" t="s">
        <v>135</v>
      </c>
      <c r="I5" s="10" t="s">
        <v>153</v>
      </c>
      <c r="J5" s="10" t="s">
        <v>146</v>
      </c>
      <c r="K5" s="10" t="s">
        <v>154</v>
      </c>
    </row>
    <row r="6" customFormat="false" ht="12" hidden="false" customHeight="false" outlineLevel="0" collapsed="false">
      <c r="B6" s="26" t="n">
        <v>1</v>
      </c>
      <c r="C6" s="27" t="n">
        <v>44197</v>
      </c>
      <c r="D6" s="10" t="n">
        <f aca="false">RANDBETWEEN(0,1)</f>
        <v>0</v>
      </c>
      <c r="E6" s="10" t="str">
        <f aca="false">IF(D6=0,"PLACEBO","DRUG")</f>
        <v>PLACEBO</v>
      </c>
      <c r="F6" s="10" t="n">
        <f aca="false">SUM(D6)</f>
        <v>0</v>
      </c>
      <c r="G6" s="10" t="n">
        <f aca="false">+H6-F6</f>
        <v>1</v>
      </c>
      <c r="H6" s="10" t="n">
        <f aca="false">COUNT(B6)</f>
        <v>1</v>
      </c>
      <c r="I6" s="27" t="n">
        <f aca="false">IF(D6=1,C6+($C$2*30),C6+($C$3*30))</f>
        <v>44917</v>
      </c>
    </row>
    <row r="7" customFormat="false" ht="12" hidden="false" customHeight="false" outlineLevel="0" collapsed="false">
      <c r="B7" s="26" t="n">
        <f aca="false">B6+1</f>
        <v>2</v>
      </c>
      <c r="C7" s="27" t="n">
        <v>44228</v>
      </c>
      <c r="D7" s="10" t="n">
        <f aca="false">RANDBETWEEN(0,1)</f>
        <v>0</v>
      </c>
      <c r="E7" s="10" t="str">
        <f aca="false">IF(D7=0,"PLACEBO","DRUG")</f>
        <v>PLACEBO</v>
      </c>
      <c r="F7" s="10" t="n">
        <f aca="false">SUM($D$6:D7)</f>
        <v>0</v>
      </c>
      <c r="G7" s="10" t="n">
        <f aca="false">+H7-F7</f>
        <v>2</v>
      </c>
      <c r="H7" s="10" t="n">
        <f aca="false">COUNT($B$6:B7)</f>
        <v>2</v>
      </c>
      <c r="I7" s="27" t="n">
        <f aca="false">IF(D7=1,C7+($C$2*30),C7+($C$3*30))</f>
        <v>44948</v>
      </c>
    </row>
    <row r="8" customFormat="false" ht="12" hidden="false" customHeight="false" outlineLevel="0" collapsed="false">
      <c r="B8" s="26" t="n">
        <f aca="false">B7+1</f>
        <v>3</v>
      </c>
      <c r="C8" s="27" t="n">
        <v>44256</v>
      </c>
      <c r="D8" s="10" t="n">
        <f aca="false">RANDBETWEEN(0,1)</f>
        <v>1</v>
      </c>
      <c r="E8" s="10" t="str">
        <f aca="false">IF(D8=0,"PLACEBO","DRUG")</f>
        <v>DRUG</v>
      </c>
      <c r="F8" s="10" t="n">
        <f aca="false">SUM($D$6:D8)</f>
        <v>1</v>
      </c>
      <c r="G8" s="10" t="n">
        <f aca="false">+H8-F8</f>
        <v>2</v>
      </c>
      <c r="H8" s="10" t="n">
        <f aca="false">COUNT($B$6:B8)</f>
        <v>3</v>
      </c>
      <c r="I8" s="27" t="n">
        <f aca="false">IF(D8=1,C8+($C$2*30),C8+($C$3*30))</f>
        <v>44976</v>
      </c>
    </row>
    <row r="9" customFormat="false" ht="12" hidden="false" customHeight="false" outlineLevel="0" collapsed="false">
      <c r="B9" s="26" t="n">
        <f aca="false">B8+1</f>
        <v>4</v>
      </c>
      <c r="C9" s="27" t="n">
        <v>44287</v>
      </c>
      <c r="D9" s="10" t="n">
        <f aca="false">RANDBETWEEN(0,1)</f>
        <v>1</v>
      </c>
      <c r="E9" s="10" t="str">
        <f aca="false">IF(D9=0,"PLACEBO","DRUG")</f>
        <v>DRUG</v>
      </c>
      <c r="F9" s="10" t="n">
        <f aca="false">SUM($D$6:D9)</f>
        <v>2</v>
      </c>
      <c r="G9" s="10" t="n">
        <f aca="false">+H9-F9</f>
        <v>2</v>
      </c>
      <c r="H9" s="10" t="n">
        <f aca="false">COUNT($B$6:B9)</f>
        <v>4</v>
      </c>
      <c r="I9" s="27" t="n">
        <f aca="false">IF(D9=1,C9+($C$2*30),C9+($C$3*30))</f>
        <v>45007</v>
      </c>
    </row>
    <row r="10" customFormat="false" ht="12" hidden="false" customHeight="false" outlineLevel="0" collapsed="false">
      <c r="B10" s="26" t="n">
        <f aca="false">B9+1</f>
        <v>5</v>
      </c>
      <c r="C10" s="27" t="n">
        <v>44317</v>
      </c>
      <c r="D10" s="10" t="n">
        <f aca="false">RANDBETWEEN(0,1)</f>
        <v>1</v>
      </c>
      <c r="E10" s="10" t="str">
        <f aca="false">IF(D10=0,"PLACEBO","DRUG")</f>
        <v>DRUG</v>
      </c>
      <c r="F10" s="10" t="n">
        <f aca="false">SUM($D$6:D10)</f>
        <v>3</v>
      </c>
      <c r="G10" s="10" t="n">
        <f aca="false">+H10-F10</f>
        <v>2</v>
      </c>
      <c r="H10" s="10" t="n">
        <f aca="false">COUNT($B$6:B10)</f>
        <v>5</v>
      </c>
      <c r="I10" s="27" t="n">
        <f aca="false">IF(D10=1,C10+($C$2*30),C10+($C$3*30))</f>
        <v>45037</v>
      </c>
    </row>
    <row r="11" customFormat="false" ht="12" hidden="false" customHeight="false" outlineLevel="0" collapsed="false">
      <c r="B11" s="26" t="n">
        <f aca="false">B10+1</f>
        <v>6</v>
      </c>
      <c r="C11" s="27" t="n">
        <v>44348</v>
      </c>
      <c r="D11" s="10" t="n">
        <f aca="false">RANDBETWEEN(0,1)</f>
        <v>1</v>
      </c>
      <c r="E11" s="10" t="str">
        <f aca="false">IF(D11=0,"PLACEBO","DRUG")</f>
        <v>DRUG</v>
      </c>
      <c r="F11" s="10" t="n">
        <f aca="false">SUM($D$6:D11)</f>
        <v>4</v>
      </c>
      <c r="G11" s="10" t="n">
        <f aca="false">+H11-F11</f>
        <v>2</v>
      </c>
      <c r="H11" s="10" t="n">
        <f aca="false">COUNT($B$6:B11)</f>
        <v>6</v>
      </c>
      <c r="I11" s="27" t="n">
        <f aca="false">IF(D11=1,C11+($C$2*30),C11+($C$3*30))</f>
        <v>45068</v>
      </c>
    </row>
    <row r="12" customFormat="false" ht="12" hidden="false" customHeight="false" outlineLevel="0" collapsed="false">
      <c r="B12" s="26" t="n">
        <f aca="false">B11+1</f>
        <v>7</v>
      </c>
      <c r="C12" s="27" t="n">
        <v>44378</v>
      </c>
      <c r="D12" s="10" t="n">
        <f aca="false">RANDBETWEEN(0,1)</f>
        <v>1</v>
      </c>
      <c r="E12" s="10" t="str">
        <f aca="false">IF(D12=0,"PLACEBO","DRUG")</f>
        <v>DRUG</v>
      </c>
      <c r="F12" s="10" t="n">
        <f aca="false">SUM($D$6:D12)</f>
        <v>5</v>
      </c>
      <c r="G12" s="10" t="n">
        <f aca="false">+H12-F12</f>
        <v>2</v>
      </c>
      <c r="H12" s="10" t="n">
        <f aca="false">COUNT($B$6:B12)</f>
        <v>7</v>
      </c>
      <c r="I12" s="27" t="n">
        <f aca="false">IF(D12=1,C12+($C$2*30),C12+($C$3*30))</f>
        <v>45098</v>
      </c>
    </row>
    <row r="13" customFormat="false" ht="12" hidden="false" customHeight="false" outlineLevel="0" collapsed="false">
      <c r="B13" s="26" t="n">
        <f aca="false">B12+1</f>
        <v>8</v>
      </c>
      <c r="C13" s="27" t="n">
        <v>44409</v>
      </c>
      <c r="D13" s="10" t="n">
        <f aca="false">RANDBETWEEN(0,1)</f>
        <v>1</v>
      </c>
      <c r="E13" s="10" t="str">
        <f aca="false">IF(D13=0,"PLACEBO","DRUG")</f>
        <v>DRUG</v>
      </c>
      <c r="F13" s="10" t="n">
        <f aca="false">SUM($D$6:D13)</f>
        <v>6</v>
      </c>
      <c r="G13" s="10" t="n">
        <f aca="false">+H13-F13</f>
        <v>2</v>
      </c>
      <c r="H13" s="10" t="n">
        <f aca="false">COUNT($B$6:B13)</f>
        <v>8</v>
      </c>
      <c r="I13" s="27" t="n">
        <f aca="false">IF(D13=1,C13+($C$2*30),C13+($C$3*30))</f>
        <v>45129</v>
      </c>
    </row>
    <row r="14" customFormat="false" ht="12" hidden="false" customHeight="false" outlineLevel="0" collapsed="false">
      <c r="B14" s="26" t="n">
        <f aca="false">B13+1</f>
        <v>9</v>
      </c>
      <c r="C14" s="27" t="n">
        <v>44440</v>
      </c>
      <c r="D14" s="10" t="n">
        <f aca="false">RANDBETWEEN(0,1)</f>
        <v>1</v>
      </c>
      <c r="E14" s="10" t="str">
        <f aca="false">IF(D14=0,"PLACEBO","DRUG")</f>
        <v>DRUG</v>
      </c>
      <c r="F14" s="10" t="n">
        <f aca="false">SUM($D$6:D14)</f>
        <v>7</v>
      </c>
      <c r="G14" s="10" t="n">
        <f aca="false">+H14-F14</f>
        <v>2</v>
      </c>
      <c r="H14" s="10" t="n">
        <f aca="false">COUNT($B$6:B14)</f>
        <v>9</v>
      </c>
      <c r="I14" s="27" t="n">
        <f aca="false">IF(D14=1,C14+($C$2*30),C14+($C$3*30))</f>
        <v>45160</v>
      </c>
    </row>
    <row r="15" customFormat="false" ht="12" hidden="false" customHeight="false" outlineLevel="0" collapsed="false">
      <c r="B15" s="26" t="n">
        <f aca="false">B14+1</f>
        <v>10</v>
      </c>
      <c r="C15" s="27" t="n">
        <v>44470</v>
      </c>
      <c r="D15" s="10" t="n">
        <f aca="false">RANDBETWEEN(0,1)</f>
        <v>1</v>
      </c>
      <c r="E15" s="10" t="str">
        <f aca="false">IF(D15=0,"PLACEBO","DRUG")</f>
        <v>DRUG</v>
      </c>
      <c r="F15" s="10" t="n">
        <f aca="false">SUM($D$6:D15)</f>
        <v>8</v>
      </c>
      <c r="G15" s="10" t="n">
        <f aca="false">+H15-F15</f>
        <v>2</v>
      </c>
      <c r="H15" s="10" t="n">
        <f aca="false">COUNT($B$6:B15)</f>
        <v>10</v>
      </c>
      <c r="I15" s="27" t="n">
        <f aca="false">IF(D15=1,C15+($C$2*30),C15+($C$3*30))</f>
        <v>45190</v>
      </c>
    </row>
    <row r="16" customFormat="false" ht="12" hidden="false" customHeight="false" outlineLevel="0" collapsed="false">
      <c r="B16" s="26" t="n">
        <f aca="false">B15+1</f>
        <v>11</v>
      </c>
      <c r="C16" s="27" t="n">
        <v>44501</v>
      </c>
      <c r="D16" s="10" t="n">
        <f aca="false">RANDBETWEEN(0,1)</f>
        <v>0</v>
      </c>
      <c r="E16" s="10" t="str">
        <f aca="false">IF(D16=0,"PLACEBO","DRUG")</f>
        <v>PLACEBO</v>
      </c>
      <c r="F16" s="10" t="n">
        <f aca="false">SUM($D$6:D16)</f>
        <v>8</v>
      </c>
      <c r="G16" s="10" t="n">
        <f aca="false">+H16-F16</f>
        <v>3</v>
      </c>
      <c r="H16" s="10" t="n">
        <f aca="false">COUNT($B$6:B16)</f>
        <v>11</v>
      </c>
      <c r="I16" s="27" t="n">
        <f aca="false">IF(D16=1,C16+($C$2*30),C16+($C$3*30))</f>
        <v>45221</v>
      </c>
    </row>
    <row r="17" customFormat="false" ht="12" hidden="false" customHeight="false" outlineLevel="0" collapsed="false">
      <c r="B17" s="26" t="n">
        <f aca="false">B16+1</f>
        <v>12</v>
      </c>
      <c r="C17" s="27" t="n">
        <v>44531</v>
      </c>
      <c r="D17" s="10" t="n">
        <f aca="false">RANDBETWEEN(0,1)</f>
        <v>0</v>
      </c>
      <c r="E17" s="10" t="str">
        <f aca="false">IF(D17=0,"PLACEBO","DRUG")</f>
        <v>PLACEBO</v>
      </c>
      <c r="F17" s="10" t="n">
        <f aca="false">SUM($D$6:D17)</f>
        <v>8</v>
      </c>
      <c r="G17" s="10" t="n">
        <f aca="false">+H17-F17</f>
        <v>4</v>
      </c>
      <c r="H17" s="10" t="n">
        <f aca="false">COUNT($B$6:B17)</f>
        <v>12</v>
      </c>
      <c r="I17" s="27" t="n">
        <f aca="false">IF(D17=1,C17+($C$2*30),C17+($C$3*30))</f>
        <v>45251</v>
      </c>
    </row>
    <row r="18" customFormat="false" ht="12" hidden="false" customHeight="false" outlineLevel="0" collapsed="false">
      <c r="B18" s="26" t="n">
        <f aca="false">B17+1</f>
        <v>13</v>
      </c>
      <c r="C18" s="27" t="n">
        <v>44562</v>
      </c>
      <c r="D18" s="10" t="n">
        <f aca="false">RANDBETWEEN(0,1)</f>
        <v>0</v>
      </c>
      <c r="E18" s="10" t="str">
        <f aca="false">IF(D18=0,"PLACEBO","DRUG")</f>
        <v>PLACEBO</v>
      </c>
      <c r="F18" s="10" t="n">
        <f aca="false">SUM($D$6:D18)</f>
        <v>8</v>
      </c>
      <c r="G18" s="10" t="n">
        <f aca="false">+H18-F18</f>
        <v>5</v>
      </c>
      <c r="H18" s="10" t="n">
        <f aca="false">COUNT($B$6:B18)</f>
        <v>13</v>
      </c>
      <c r="I18" s="27" t="n">
        <f aca="false">IF(D18=1,C18+($C$2*30),C18+($C$3*30))</f>
        <v>45282</v>
      </c>
    </row>
    <row r="19" customFormat="false" ht="12" hidden="false" customHeight="false" outlineLevel="0" collapsed="false">
      <c r="B19" s="26" t="n">
        <f aca="false">B18+1</f>
        <v>14</v>
      </c>
      <c r="C19" s="27" t="n">
        <v>44593</v>
      </c>
      <c r="D19" s="10" t="n">
        <f aca="false">RANDBETWEEN(0,1)</f>
        <v>1</v>
      </c>
      <c r="E19" s="10" t="str">
        <f aca="false">IF(D19=0,"PLACEBO","DRUG")</f>
        <v>DRUG</v>
      </c>
      <c r="F19" s="10" t="n">
        <f aca="false">SUM($D$6:D19)</f>
        <v>9</v>
      </c>
      <c r="G19" s="10" t="n">
        <f aca="false">+H19-F19</f>
        <v>5</v>
      </c>
      <c r="H19" s="10" t="n">
        <f aca="false">COUNT($B$6:B19)</f>
        <v>14</v>
      </c>
      <c r="I19" s="27" t="n">
        <f aca="false">IF(D19=1,C19+($C$2*30),C19+($C$3*30))</f>
        <v>45313</v>
      </c>
    </row>
    <row r="20" customFormat="false" ht="12" hidden="false" customHeight="false" outlineLevel="0" collapsed="false">
      <c r="B20" s="26" t="n">
        <f aca="false">B19+1</f>
        <v>15</v>
      </c>
      <c r="C20" s="27" t="n">
        <v>44621</v>
      </c>
      <c r="D20" s="10" t="n">
        <f aca="false">RANDBETWEEN(0,1)</f>
        <v>1</v>
      </c>
      <c r="E20" s="10" t="str">
        <f aca="false">IF(D20=0,"PLACEBO","DRUG")</f>
        <v>DRUG</v>
      </c>
      <c r="F20" s="10" t="n">
        <f aca="false">SUM($D$6:D20)</f>
        <v>10</v>
      </c>
      <c r="G20" s="10" t="n">
        <f aca="false">+H20-F20</f>
        <v>5</v>
      </c>
      <c r="H20" s="10" t="n">
        <f aca="false">COUNT($B$6:B20)</f>
        <v>15</v>
      </c>
      <c r="I20" s="27" t="n">
        <f aca="false">IF(D20=1,C20+($C$2*30),C20+($C$3*30))</f>
        <v>45341</v>
      </c>
    </row>
    <row r="21" customFormat="false" ht="12" hidden="false" customHeight="false" outlineLevel="0" collapsed="false">
      <c r="B21" s="26" t="n">
        <f aca="false">B20+1</f>
        <v>16</v>
      </c>
      <c r="C21" s="27" t="n">
        <v>44621</v>
      </c>
      <c r="D21" s="10" t="n">
        <f aca="false">RANDBETWEEN(0,1)</f>
        <v>0</v>
      </c>
      <c r="E21" s="10" t="str">
        <f aca="false">IF(D21=0,"PLACEBO","DRUG")</f>
        <v>PLACEBO</v>
      </c>
      <c r="F21" s="10" t="n">
        <f aca="false">SUM($D$6:D21)</f>
        <v>10</v>
      </c>
      <c r="G21" s="10" t="n">
        <f aca="false">+H21-F21</f>
        <v>6</v>
      </c>
      <c r="H21" s="10" t="n">
        <f aca="false">COUNT($B$6:B21)</f>
        <v>16</v>
      </c>
      <c r="I21" s="27" t="n">
        <f aca="false">IF(D21=1,C21+($C$2*30),C21+($C$3*30))</f>
        <v>45341</v>
      </c>
    </row>
    <row r="22" customFormat="false" ht="12" hidden="false" customHeight="false" outlineLevel="0" collapsed="false">
      <c r="B22" s="26" t="n">
        <f aca="false">B21+1</f>
        <v>17</v>
      </c>
      <c r="C22" s="27" t="n">
        <v>44652</v>
      </c>
      <c r="D22" s="10" t="n">
        <f aca="false">RANDBETWEEN(0,1)</f>
        <v>0</v>
      </c>
      <c r="E22" s="10" t="str">
        <f aca="false">IF(D22=0,"PLACEBO","DRUG")</f>
        <v>PLACEBO</v>
      </c>
      <c r="F22" s="10" t="n">
        <f aca="false">SUM($D$6:D22)</f>
        <v>10</v>
      </c>
      <c r="G22" s="10" t="n">
        <f aca="false">+H22-F22</f>
        <v>7</v>
      </c>
      <c r="H22" s="10" t="n">
        <f aca="false">COUNT($B$6:B22)</f>
        <v>17</v>
      </c>
      <c r="I22" s="27" t="n">
        <f aca="false">IF(D22=1,C22+($C$2*30),C22+($C$3*30))</f>
        <v>45372</v>
      </c>
    </row>
    <row r="23" customFormat="false" ht="12" hidden="false" customHeight="false" outlineLevel="0" collapsed="false">
      <c r="B23" s="26" t="n">
        <f aca="false">B22+1</f>
        <v>18</v>
      </c>
      <c r="C23" s="27" t="n">
        <v>44652</v>
      </c>
      <c r="D23" s="10" t="n">
        <f aca="false">RANDBETWEEN(0,1)</f>
        <v>0</v>
      </c>
      <c r="E23" s="10" t="str">
        <f aca="false">IF(D23=0,"PLACEBO","DRUG")</f>
        <v>PLACEBO</v>
      </c>
      <c r="F23" s="10" t="n">
        <f aca="false">SUM($D$6:D23)</f>
        <v>10</v>
      </c>
      <c r="G23" s="10" t="n">
        <f aca="false">+H23-F23</f>
        <v>8</v>
      </c>
      <c r="H23" s="10" t="n">
        <f aca="false">COUNT($B$6:B23)</f>
        <v>18</v>
      </c>
      <c r="I23" s="27" t="n">
        <f aca="false">IF(D23=1,C23+($C$2*30),C23+($C$3*30))</f>
        <v>45372</v>
      </c>
    </row>
    <row r="24" customFormat="false" ht="12" hidden="false" customHeight="false" outlineLevel="0" collapsed="false">
      <c r="B24" s="26" t="n">
        <f aca="false">B23+1</f>
        <v>19</v>
      </c>
      <c r="C24" s="27" t="n">
        <v>44682</v>
      </c>
      <c r="D24" s="10" t="n">
        <f aca="false">RANDBETWEEN(0,1)</f>
        <v>0</v>
      </c>
      <c r="E24" s="10" t="str">
        <f aca="false">IF(D24=0,"PLACEBO","DRUG")</f>
        <v>PLACEBO</v>
      </c>
      <c r="F24" s="10" t="n">
        <f aca="false">SUM($D$6:D24)</f>
        <v>10</v>
      </c>
      <c r="G24" s="10" t="n">
        <f aca="false">+H24-F24</f>
        <v>9</v>
      </c>
      <c r="H24" s="10" t="n">
        <f aca="false">COUNT($B$6:B24)</f>
        <v>19</v>
      </c>
      <c r="I24" s="27" t="n">
        <f aca="false">IF(D24=1,C24+($C$2*30),C24+($C$3*30))</f>
        <v>45402</v>
      </c>
    </row>
    <row r="25" customFormat="false" ht="12" hidden="false" customHeight="false" outlineLevel="0" collapsed="false">
      <c r="B25" s="26" t="n">
        <f aca="false">B24+1</f>
        <v>20</v>
      </c>
      <c r="C25" s="27" t="n">
        <v>44682</v>
      </c>
      <c r="D25" s="10" t="n">
        <f aca="false">RANDBETWEEN(0,1)</f>
        <v>1</v>
      </c>
      <c r="E25" s="10" t="str">
        <f aca="false">IF(D25=0,"PLACEBO","DRUG")</f>
        <v>DRUG</v>
      </c>
      <c r="F25" s="10" t="n">
        <f aca="false">SUM($D$6:D25)</f>
        <v>11</v>
      </c>
      <c r="G25" s="10" t="n">
        <f aca="false">+H25-F25</f>
        <v>9</v>
      </c>
      <c r="H25" s="10" t="n">
        <f aca="false">COUNT($B$6:B25)</f>
        <v>20</v>
      </c>
      <c r="I25" s="27" t="n">
        <f aca="false">IF(D25=1,C25+($C$2*30),C25+($C$3*30))</f>
        <v>45402</v>
      </c>
    </row>
    <row r="26" customFormat="false" ht="12" hidden="false" customHeight="false" outlineLevel="0" collapsed="false">
      <c r="B26" s="26" t="n">
        <f aca="false">B25+1</f>
        <v>21</v>
      </c>
      <c r="C26" s="27" t="n">
        <v>44682</v>
      </c>
      <c r="D26" s="10" t="n">
        <f aca="false">RANDBETWEEN(0,1)</f>
        <v>0</v>
      </c>
      <c r="E26" s="10" t="str">
        <f aca="false">IF(D26=0,"PLACEBO","DRUG")</f>
        <v>PLACEBO</v>
      </c>
      <c r="F26" s="10" t="n">
        <f aca="false">SUM($D$6:D26)</f>
        <v>11</v>
      </c>
      <c r="G26" s="10" t="n">
        <f aca="false">+H26-F26</f>
        <v>10</v>
      </c>
      <c r="H26" s="10" t="n">
        <f aca="false">COUNT($B$6:B26)</f>
        <v>21</v>
      </c>
      <c r="I26" s="27" t="n">
        <f aca="false">IF(D26=1,C26+($C$2*30),C26+($C$3*30))</f>
        <v>45402</v>
      </c>
    </row>
    <row r="27" customFormat="false" ht="12" hidden="false" customHeight="false" outlineLevel="0" collapsed="false">
      <c r="B27" s="26" t="n">
        <f aca="false">B26+1</f>
        <v>22</v>
      </c>
      <c r="C27" s="27" t="n">
        <v>44713</v>
      </c>
      <c r="D27" s="10" t="n">
        <f aca="false">RANDBETWEEN(0,1)</f>
        <v>0</v>
      </c>
      <c r="E27" s="10" t="str">
        <f aca="false">IF(D27=0,"PLACEBO","DRUG")</f>
        <v>PLACEBO</v>
      </c>
      <c r="F27" s="10" t="n">
        <f aca="false">SUM($D$6:D27)</f>
        <v>11</v>
      </c>
      <c r="G27" s="10" t="n">
        <f aca="false">+H27-F27</f>
        <v>11</v>
      </c>
      <c r="H27" s="10" t="n">
        <f aca="false">COUNT($B$6:B27)</f>
        <v>22</v>
      </c>
      <c r="I27" s="27" t="n">
        <f aca="false">IF(D27=1,C27+($C$2*30),C27+($C$3*30))</f>
        <v>45433</v>
      </c>
    </row>
    <row r="28" customFormat="false" ht="12" hidden="false" customHeight="false" outlineLevel="0" collapsed="false">
      <c r="B28" s="26" t="n">
        <f aca="false">B27+1</f>
        <v>23</v>
      </c>
      <c r="C28" s="27" t="n">
        <v>44713</v>
      </c>
      <c r="D28" s="10" t="n">
        <f aca="false">RANDBETWEEN(0,1)</f>
        <v>0</v>
      </c>
      <c r="E28" s="10" t="str">
        <f aca="false">IF(D28=0,"PLACEBO","DRUG")</f>
        <v>PLACEBO</v>
      </c>
      <c r="F28" s="10" t="n">
        <f aca="false">SUM($D$6:D28)</f>
        <v>11</v>
      </c>
      <c r="G28" s="10" t="n">
        <f aca="false">+H28-F28</f>
        <v>12</v>
      </c>
      <c r="H28" s="10" t="n">
        <f aca="false">COUNT($B$6:B28)</f>
        <v>23</v>
      </c>
      <c r="I28" s="27" t="n">
        <f aca="false">IF(D28=1,C28+($C$2*30),C28+($C$3*30))</f>
        <v>45433</v>
      </c>
    </row>
    <row r="29" customFormat="false" ht="12" hidden="false" customHeight="false" outlineLevel="0" collapsed="false">
      <c r="B29" s="26" t="n">
        <f aca="false">B28+1</f>
        <v>24</v>
      </c>
      <c r="C29" s="27" t="n">
        <v>44713</v>
      </c>
      <c r="D29" s="10" t="n">
        <f aca="false">RANDBETWEEN(0,1)</f>
        <v>0</v>
      </c>
      <c r="E29" s="10" t="str">
        <f aca="false">IF(D29=0,"PLACEBO","DRUG")</f>
        <v>PLACEBO</v>
      </c>
      <c r="F29" s="10" t="n">
        <f aca="false">SUM($D$6:D29)</f>
        <v>11</v>
      </c>
      <c r="G29" s="10" t="n">
        <f aca="false">+H29-F29</f>
        <v>13</v>
      </c>
      <c r="H29" s="10" t="n">
        <f aca="false">COUNT($B$6:B29)</f>
        <v>24</v>
      </c>
      <c r="I29" s="27" t="n">
        <f aca="false">IF(D29=1,C29+($C$2*30),C29+($C$3*30))</f>
        <v>45433</v>
      </c>
    </row>
    <row r="30" customFormat="false" ht="12" hidden="false" customHeight="false" outlineLevel="0" collapsed="false">
      <c r="B30" s="26" t="n">
        <f aca="false">B29+1</f>
        <v>25</v>
      </c>
      <c r="C30" s="27" t="n">
        <v>44743</v>
      </c>
      <c r="D30" s="10" t="n">
        <f aca="false">RANDBETWEEN(0,1)</f>
        <v>0</v>
      </c>
      <c r="E30" s="10" t="str">
        <f aca="false">IF(D30=0,"PLACEBO","DRUG")</f>
        <v>PLACEBO</v>
      </c>
      <c r="F30" s="10" t="n">
        <f aca="false">SUM($D$6:D30)</f>
        <v>11</v>
      </c>
      <c r="G30" s="10" t="n">
        <f aca="false">+H30-F30</f>
        <v>14</v>
      </c>
      <c r="H30" s="10" t="n">
        <f aca="false">COUNT($B$6:B30)</f>
        <v>25</v>
      </c>
      <c r="I30" s="27" t="n">
        <f aca="false">IF(D30=1,C30+($C$2*30),C30+($C$3*30))</f>
        <v>45463</v>
      </c>
    </row>
    <row r="31" customFormat="false" ht="12" hidden="false" customHeight="false" outlineLevel="0" collapsed="false">
      <c r="B31" s="26" t="n">
        <f aca="false">B30+1</f>
        <v>26</v>
      </c>
      <c r="C31" s="27" t="n">
        <v>44743</v>
      </c>
      <c r="D31" s="10" t="n">
        <f aca="false">RANDBETWEEN(0,1)</f>
        <v>0</v>
      </c>
      <c r="E31" s="10" t="str">
        <f aca="false">IF(D31=0,"PLACEBO","DRUG")</f>
        <v>PLACEBO</v>
      </c>
      <c r="F31" s="10" t="n">
        <f aca="false">SUM($D$6:D31)</f>
        <v>11</v>
      </c>
      <c r="G31" s="10" t="n">
        <f aca="false">+H31-F31</f>
        <v>15</v>
      </c>
      <c r="H31" s="10" t="n">
        <f aca="false">COUNT($B$6:B31)</f>
        <v>26</v>
      </c>
      <c r="I31" s="27" t="n">
        <f aca="false">IF(D31=1,C31+($C$2*30),C31+($C$3*30))</f>
        <v>45463</v>
      </c>
    </row>
    <row r="32" customFormat="false" ht="12" hidden="false" customHeight="false" outlineLevel="0" collapsed="false">
      <c r="B32" s="26" t="n">
        <f aca="false">B31+1</f>
        <v>27</v>
      </c>
      <c r="C32" s="27" t="n">
        <v>44743</v>
      </c>
      <c r="D32" s="10" t="n">
        <f aca="false">RANDBETWEEN(0,1)</f>
        <v>0</v>
      </c>
      <c r="E32" s="10" t="str">
        <f aca="false">IF(D32=0,"PLACEBO","DRUG")</f>
        <v>PLACEBO</v>
      </c>
      <c r="F32" s="10" t="n">
        <f aca="false">SUM($D$6:D32)</f>
        <v>11</v>
      </c>
      <c r="G32" s="10" t="n">
        <f aca="false">+H32-F32</f>
        <v>16</v>
      </c>
      <c r="H32" s="10" t="n">
        <f aca="false">COUNT($B$6:B32)</f>
        <v>27</v>
      </c>
      <c r="I32" s="27" t="n">
        <f aca="false">IF(D32=1,C32+($C$2*30),C32+($C$3*30))</f>
        <v>45463</v>
      </c>
    </row>
    <row r="33" customFormat="false" ht="12" hidden="false" customHeight="false" outlineLevel="0" collapsed="false">
      <c r="B33" s="26" t="n">
        <f aca="false">B32+1</f>
        <v>28</v>
      </c>
      <c r="C33" s="27" t="n">
        <v>44774</v>
      </c>
      <c r="D33" s="10" t="n">
        <f aca="false">RANDBETWEEN(0,1)</f>
        <v>0</v>
      </c>
      <c r="E33" s="10" t="str">
        <f aca="false">IF(D33=0,"PLACEBO","DRUG")</f>
        <v>PLACEBO</v>
      </c>
      <c r="F33" s="10" t="n">
        <f aca="false">SUM($D$6:D33)</f>
        <v>11</v>
      </c>
      <c r="G33" s="10" t="n">
        <f aca="false">+H33-F33</f>
        <v>17</v>
      </c>
      <c r="H33" s="10" t="n">
        <f aca="false">COUNT($B$6:B33)</f>
        <v>28</v>
      </c>
      <c r="I33" s="27" t="n">
        <f aca="false">IF(D33=1,C33+($C$2*30),C33+($C$3*30))</f>
        <v>45494</v>
      </c>
    </row>
    <row r="34" customFormat="false" ht="12" hidden="false" customHeight="false" outlineLevel="0" collapsed="false">
      <c r="B34" s="26" t="n">
        <f aca="false">B33+1</f>
        <v>29</v>
      </c>
      <c r="C34" s="27" t="n">
        <v>44774</v>
      </c>
      <c r="D34" s="10" t="n">
        <f aca="false">RANDBETWEEN(0,1)</f>
        <v>0</v>
      </c>
      <c r="E34" s="10" t="str">
        <f aca="false">IF(D34=0,"PLACEBO","DRUG")</f>
        <v>PLACEBO</v>
      </c>
      <c r="F34" s="10" t="n">
        <f aca="false">SUM($D$6:D34)</f>
        <v>11</v>
      </c>
      <c r="G34" s="10" t="n">
        <f aca="false">+H34-F34</f>
        <v>18</v>
      </c>
      <c r="H34" s="10" t="n">
        <f aca="false">COUNT($B$6:B34)</f>
        <v>29</v>
      </c>
      <c r="I34" s="27" t="n">
        <f aca="false">IF(D34=1,C34+($C$2*30),C34+($C$3*30))</f>
        <v>45494</v>
      </c>
    </row>
    <row r="35" customFormat="false" ht="12" hidden="false" customHeight="false" outlineLevel="0" collapsed="false">
      <c r="B35" s="26" t="n">
        <f aca="false">B34+1</f>
        <v>30</v>
      </c>
      <c r="C35" s="27" t="n">
        <v>44774</v>
      </c>
      <c r="D35" s="10" t="n">
        <f aca="false">RANDBETWEEN(0,1)</f>
        <v>1</v>
      </c>
      <c r="E35" s="10" t="str">
        <f aca="false">IF(D35=0,"PLACEBO","DRUG")</f>
        <v>DRUG</v>
      </c>
      <c r="F35" s="10" t="n">
        <f aca="false">SUM($D$6:D35)</f>
        <v>12</v>
      </c>
      <c r="G35" s="10" t="n">
        <f aca="false">+H35-F35</f>
        <v>18</v>
      </c>
      <c r="H35" s="10" t="n">
        <f aca="false">COUNT($B$6:B35)</f>
        <v>30</v>
      </c>
      <c r="I35" s="27" t="n">
        <f aca="false">IF(D35=1,C35+($C$2*30),C35+($C$3*30))</f>
        <v>45494</v>
      </c>
    </row>
    <row r="36" customFormat="false" ht="12" hidden="false" customHeight="false" outlineLevel="0" collapsed="false">
      <c r="B36" s="26" t="n">
        <f aca="false">B35+1</f>
        <v>31</v>
      </c>
      <c r="C36" s="27" t="n">
        <v>44805</v>
      </c>
      <c r="D36" s="10" t="n">
        <f aca="false">RANDBETWEEN(0,1)</f>
        <v>0</v>
      </c>
      <c r="E36" s="10" t="str">
        <f aca="false">IF(D36=0,"PLACEBO","DRUG")</f>
        <v>PLACEBO</v>
      </c>
      <c r="F36" s="10" t="n">
        <f aca="false">SUM($D$6:D36)</f>
        <v>12</v>
      </c>
      <c r="G36" s="10" t="n">
        <f aca="false">+H36-F36</f>
        <v>19</v>
      </c>
      <c r="H36" s="10" t="n">
        <f aca="false">COUNT($B$6:B36)</f>
        <v>31</v>
      </c>
      <c r="I36" s="27" t="n">
        <f aca="false">IF(D36=1,C36+($C$2*30),C36+($C$3*30))</f>
        <v>45525</v>
      </c>
    </row>
    <row r="37" customFormat="false" ht="12" hidden="false" customHeight="false" outlineLevel="0" collapsed="false">
      <c r="B37" s="26" t="n">
        <f aca="false">B36+1</f>
        <v>32</v>
      </c>
      <c r="C37" s="27" t="n">
        <v>44805</v>
      </c>
      <c r="D37" s="10" t="n">
        <f aca="false">RANDBETWEEN(0,1)</f>
        <v>1</v>
      </c>
      <c r="E37" s="10" t="str">
        <f aca="false">IF(D37=0,"PLACEBO","DRUG")</f>
        <v>DRUG</v>
      </c>
      <c r="F37" s="10" t="n">
        <f aca="false">SUM($D$6:D37)</f>
        <v>13</v>
      </c>
      <c r="G37" s="10" t="n">
        <f aca="false">+H37-F37</f>
        <v>19</v>
      </c>
      <c r="H37" s="10" t="n">
        <f aca="false">COUNT($B$6:B37)</f>
        <v>32</v>
      </c>
      <c r="I37" s="27" t="n">
        <f aca="false">IF(D37=1,C37+($C$2*30),C37+($C$3*30))</f>
        <v>45525</v>
      </c>
    </row>
    <row r="38" customFormat="false" ht="12" hidden="false" customHeight="false" outlineLevel="0" collapsed="false">
      <c r="B38" s="26" t="n">
        <f aca="false">B37+1</f>
        <v>33</v>
      </c>
      <c r="C38" s="27" t="n">
        <v>44805</v>
      </c>
      <c r="D38" s="10" t="n">
        <f aca="false">RANDBETWEEN(0,1)</f>
        <v>1</v>
      </c>
      <c r="E38" s="10" t="str">
        <f aca="false">IF(D38=0,"PLACEBO","DRUG")</f>
        <v>DRUG</v>
      </c>
      <c r="F38" s="10" t="n">
        <f aca="false">SUM($D$6:D38)</f>
        <v>14</v>
      </c>
      <c r="G38" s="10" t="n">
        <f aca="false">+H38-F38</f>
        <v>19</v>
      </c>
      <c r="H38" s="10" t="n">
        <f aca="false">COUNT($B$6:B38)</f>
        <v>33</v>
      </c>
      <c r="I38" s="27" t="n">
        <f aca="false">IF(D38=1,C38+($C$2*30),C38+($C$3*30))</f>
        <v>45525</v>
      </c>
    </row>
    <row r="39" customFormat="false" ht="12" hidden="false" customHeight="false" outlineLevel="0" collapsed="false">
      <c r="B39" s="26" t="n">
        <f aca="false">B38+1</f>
        <v>34</v>
      </c>
      <c r="C39" s="27" t="n">
        <v>44805</v>
      </c>
      <c r="D39" s="10" t="n">
        <f aca="false">RANDBETWEEN(0,1)</f>
        <v>0</v>
      </c>
      <c r="E39" s="10" t="str">
        <f aca="false">IF(D39=0,"PLACEBO","DRUG")</f>
        <v>PLACEBO</v>
      </c>
      <c r="F39" s="10" t="n">
        <f aca="false">SUM($D$6:D39)</f>
        <v>14</v>
      </c>
      <c r="G39" s="10" t="n">
        <f aca="false">+H39-F39</f>
        <v>20</v>
      </c>
      <c r="H39" s="10" t="n">
        <f aca="false">COUNT($B$6:B39)</f>
        <v>34</v>
      </c>
      <c r="I39" s="27" t="n">
        <f aca="false">IF(D39=1,C39+($C$2*30),C39+($C$3*30))</f>
        <v>45525</v>
      </c>
    </row>
    <row r="40" customFormat="false" ht="12" hidden="false" customHeight="false" outlineLevel="0" collapsed="false">
      <c r="B40" s="26" t="n">
        <f aca="false">B39+1</f>
        <v>35</v>
      </c>
      <c r="C40" s="27" t="n">
        <v>44835</v>
      </c>
      <c r="D40" s="10" t="n">
        <f aca="false">RANDBETWEEN(0,1)</f>
        <v>1</v>
      </c>
      <c r="E40" s="10" t="str">
        <f aca="false">IF(D40=0,"PLACEBO","DRUG")</f>
        <v>DRUG</v>
      </c>
      <c r="F40" s="10" t="n">
        <f aca="false">SUM($D$6:D40)</f>
        <v>15</v>
      </c>
      <c r="G40" s="10" t="n">
        <f aca="false">+H40-F40</f>
        <v>20</v>
      </c>
      <c r="H40" s="10" t="n">
        <f aca="false">COUNT($B$6:B40)</f>
        <v>35</v>
      </c>
      <c r="I40" s="27" t="n">
        <f aca="false">IF(D40=1,C40+($C$2*30),C40+($C$3*30))</f>
        <v>45555</v>
      </c>
    </row>
    <row r="41" customFormat="false" ht="12" hidden="false" customHeight="false" outlineLevel="0" collapsed="false">
      <c r="B41" s="26" t="n">
        <f aca="false">B40+1</f>
        <v>36</v>
      </c>
      <c r="C41" s="27" t="n">
        <v>44835</v>
      </c>
      <c r="D41" s="10" t="n">
        <f aca="false">RANDBETWEEN(0,1)</f>
        <v>0</v>
      </c>
      <c r="E41" s="10" t="str">
        <f aca="false">IF(D41=0,"PLACEBO","DRUG")</f>
        <v>PLACEBO</v>
      </c>
      <c r="F41" s="10" t="n">
        <f aca="false">SUM($D$6:D41)</f>
        <v>15</v>
      </c>
      <c r="G41" s="10" t="n">
        <f aca="false">+H41-F41</f>
        <v>21</v>
      </c>
      <c r="H41" s="10" t="n">
        <f aca="false">COUNT($B$6:B41)</f>
        <v>36</v>
      </c>
      <c r="I41" s="27" t="n">
        <f aca="false">IF(D41=1,C41+($C$2*30),C41+($C$3*30))</f>
        <v>45555</v>
      </c>
    </row>
    <row r="42" customFormat="false" ht="12" hidden="false" customHeight="false" outlineLevel="0" collapsed="false">
      <c r="B42" s="26" t="n">
        <f aca="false">B41+1</f>
        <v>37</v>
      </c>
      <c r="C42" s="27" t="n">
        <v>44835</v>
      </c>
      <c r="D42" s="10" t="n">
        <f aca="false">RANDBETWEEN(0,1)</f>
        <v>0</v>
      </c>
      <c r="E42" s="10" t="str">
        <f aca="false">IF(D42=0,"PLACEBO","DRUG")</f>
        <v>PLACEBO</v>
      </c>
      <c r="F42" s="10" t="n">
        <f aca="false">SUM($D$6:D42)</f>
        <v>15</v>
      </c>
      <c r="G42" s="10" t="n">
        <f aca="false">+H42-F42</f>
        <v>22</v>
      </c>
      <c r="H42" s="10" t="n">
        <f aca="false">COUNT($B$6:B42)</f>
        <v>37</v>
      </c>
      <c r="I42" s="27" t="n">
        <f aca="false">IF(D42=1,C42+($C$2*30),C42+($C$3*30))</f>
        <v>45555</v>
      </c>
    </row>
    <row r="43" customFormat="false" ht="12" hidden="false" customHeight="false" outlineLevel="0" collapsed="false">
      <c r="B43" s="26" t="n">
        <f aca="false">B42+1</f>
        <v>38</v>
      </c>
      <c r="C43" s="27" t="n">
        <v>44835</v>
      </c>
      <c r="D43" s="10" t="n">
        <f aca="false">RANDBETWEEN(0,1)</f>
        <v>0</v>
      </c>
      <c r="E43" s="10" t="str">
        <f aca="false">IF(D43=0,"PLACEBO","DRUG")</f>
        <v>PLACEBO</v>
      </c>
      <c r="F43" s="10" t="n">
        <f aca="false">SUM($D$6:D43)</f>
        <v>15</v>
      </c>
      <c r="G43" s="10" t="n">
        <f aca="false">+H43-F43</f>
        <v>23</v>
      </c>
      <c r="H43" s="10" t="n">
        <f aca="false">COUNT($B$6:B43)</f>
        <v>38</v>
      </c>
      <c r="I43" s="27" t="n">
        <f aca="false">IF(D43=1,C43+($C$2*30),C43+($C$3*30))</f>
        <v>45555</v>
      </c>
    </row>
    <row r="44" customFormat="false" ht="12" hidden="false" customHeight="false" outlineLevel="0" collapsed="false">
      <c r="B44" s="26" t="n">
        <f aca="false">B43+1</f>
        <v>39</v>
      </c>
      <c r="C44" s="27" t="n">
        <v>44866</v>
      </c>
      <c r="D44" s="10" t="n">
        <f aca="false">RANDBETWEEN(0,1)</f>
        <v>0</v>
      </c>
      <c r="E44" s="10" t="str">
        <f aca="false">IF(D44=0,"PLACEBO","DRUG")</f>
        <v>PLACEBO</v>
      </c>
      <c r="F44" s="10" t="n">
        <f aca="false">SUM($D$6:D44)</f>
        <v>15</v>
      </c>
      <c r="G44" s="10" t="n">
        <f aca="false">+H44-F44</f>
        <v>24</v>
      </c>
      <c r="H44" s="10" t="n">
        <f aca="false">COUNT($B$6:B44)</f>
        <v>39</v>
      </c>
      <c r="I44" s="27" t="n">
        <f aca="false">IF(D44=1,C44+($C$2*30),C44+($C$3*30))</f>
        <v>45586</v>
      </c>
    </row>
    <row r="45" customFormat="false" ht="12" hidden="false" customHeight="false" outlineLevel="0" collapsed="false">
      <c r="B45" s="26" t="n">
        <f aca="false">B44+1</f>
        <v>40</v>
      </c>
      <c r="C45" s="27" t="n">
        <v>44866</v>
      </c>
      <c r="D45" s="10" t="n">
        <f aca="false">RANDBETWEEN(0,1)</f>
        <v>0</v>
      </c>
      <c r="E45" s="10" t="str">
        <f aca="false">IF(D45=0,"PLACEBO","DRUG")</f>
        <v>PLACEBO</v>
      </c>
      <c r="F45" s="10" t="n">
        <f aca="false">SUM($D$6:D45)</f>
        <v>15</v>
      </c>
      <c r="G45" s="10" t="n">
        <f aca="false">+H45-F45</f>
        <v>25</v>
      </c>
      <c r="H45" s="10" t="n">
        <f aca="false">COUNT($B$6:B45)</f>
        <v>40</v>
      </c>
      <c r="I45" s="27" t="n">
        <f aca="false">IF(D45=1,C45+($C$2*30),C45+($C$3*30))</f>
        <v>45586</v>
      </c>
    </row>
    <row r="46" customFormat="false" ht="12" hidden="false" customHeight="false" outlineLevel="0" collapsed="false">
      <c r="B46" s="26" t="n">
        <f aca="false">B45+1</f>
        <v>41</v>
      </c>
      <c r="C46" s="27" t="n">
        <v>44866</v>
      </c>
      <c r="D46" s="10" t="n">
        <f aca="false">RANDBETWEEN(0,1)</f>
        <v>1</v>
      </c>
      <c r="E46" s="10" t="str">
        <f aca="false">IF(D46=0,"PLACEBO","DRUG")</f>
        <v>DRUG</v>
      </c>
      <c r="F46" s="10" t="n">
        <f aca="false">SUM($D$6:D46)</f>
        <v>16</v>
      </c>
      <c r="G46" s="10" t="n">
        <f aca="false">+H46-F46</f>
        <v>25</v>
      </c>
      <c r="H46" s="10" t="n">
        <f aca="false">COUNT($B$6:B46)</f>
        <v>41</v>
      </c>
      <c r="I46" s="27" t="n">
        <f aca="false">IF(D46=1,C46+($C$2*30),C46+($C$3*30))</f>
        <v>45586</v>
      </c>
    </row>
    <row r="47" customFormat="false" ht="12" hidden="false" customHeight="false" outlineLevel="0" collapsed="false">
      <c r="B47" s="26" t="n">
        <f aca="false">B46+1</f>
        <v>42</v>
      </c>
      <c r="C47" s="27" t="n">
        <v>44866</v>
      </c>
      <c r="D47" s="10" t="n">
        <f aca="false">RANDBETWEEN(0,1)</f>
        <v>0</v>
      </c>
      <c r="E47" s="10" t="str">
        <f aca="false">IF(D47=0,"PLACEBO","DRUG")</f>
        <v>PLACEBO</v>
      </c>
      <c r="F47" s="10" t="n">
        <f aca="false">SUM($D$6:D47)</f>
        <v>16</v>
      </c>
      <c r="G47" s="10" t="n">
        <f aca="false">+H47-F47</f>
        <v>26</v>
      </c>
      <c r="H47" s="10" t="n">
        <f aca="false">COUNT($B$6:B47)</f>
        <v>42</v>
      </c>
      <c r="I47" s="27" t="n">
        <f aca="false">IF(D47=1,C47+($C$2*30),C47+($C$3*30))</f>
        <v>45586</v>
      </c>
    </row>
    <row r="48" customFormat="false" ht="12" hidden="false" customHeight="false" outlineLevel="0" collapsed="false">
      <c r="B48" s="26" t="n">
        <f aca="false">B47+1</f>
        <v>43</v>
      </c>
      <c r="C48" s="27" t="n">
        <v>44866</v>
      </c>
      <c r="D48" s="10" t="n">
        <f aca="false">RANDBETWEEN(0,1)</f>
        <v>0</v>
      </c>
      <c r="E48" s="10" t="str">
        <f aca="false">IF(D48=0,"PLACEBO","DRUG")</f>
        <v>PLACEBO</v>
      </c>
      <c r="F48" s="10" t="n">
        <f aca="false">SUM($D$6:D48)</f>
        <v>16</v>
      </c>
      <c r="G48" s="10" t="n">
        <f aca="false">+H48-F48</f>
        <v>27</v>
      </c>
      <c r="H48" s="10" t="n">
        <f aca="false">COUNT($B$6:B48)</f>
        <v>43</v>
      </c>
      <c r="I48" s="27" t="n">
        <f aca="false">IF(D48=1,C48+($C$2*30),C48+($C$3*30))</f>
        <v>45586</v>
      </c>
    </row>
    <row r="49" customFormat="false" ht="12" hidden="false" customHeight="false" outlineLevel="0" collapsed="false">
      <c r="B49" s="26" t="n">
        <f aca="false">B48+1</f>
        <v>44</v>
      </c>
      <c r="C49" s="27" t="n">
        <v>44896</v>
      </c>
      <c r="D49" s="10" t="n">
        <f aca="false">RANDBETWEEN(0,1)</f>
        <v>0</v>
      </c>
      <c r="E49" s="10" t="str">
        <f aca="false">IF(D49=0,"PLACEBO","DRUG")</f>
        <v>PLACEBO</v>
      </c>
      <c r="F49" s="10" t="n">
        <f aca="false">SUM($D$6:D49)</f>
        <v>16</v>
      </c>
      <c r="G49" s="10" t="n">
        <f aca="false">+H49-F49</f>
        <v>28</v>
      </c>
      <c r="H49" s="10" t="n">
        <f aca="false">COUNT($B$6:B49)</f>
        <v>44</v>
      </c>
      <c r="I49" s="27" t="n">
        <f aca="false">IF(D49=1,C49+($C$2*30),C49+($C$3*30))</f>
        <v>45616</v>
      </c>
    </row>
    <row r="50" customFormat="false" ht="12" hidden="false" customHeight="false" outlineLevel="0" collapsed="false">
      <c r="B50" s="26" t="n">
        <f aca="false">B49+1</f>
        <v>45</v>
      </c>
      <c r="C50" s="27" t="n">
        <v>44896</v>
      </c>
      <c r="D50" s="10" t="n">
        <f aca="false">RANDBETWEEN(0,1)</f>
        <v>0</v>
      </c>
      <c r="E50" s="10" t="str">
        <f aca="false">IF(D50=0,"PLACEBO","DRUG")</f>
        <v>PLACEBO</v>
      </c>
      <c r="F50" s="10" t="n">
        <f aca="false">SUM($D$6:D50)</f>
        <v>16</v>
      </c>
      <c r="G50" s="10" t="n">
        <f aca="false">+H50-F50</f>
        <v>29</v>
      </c>
      <c r="H50" s="10" t="n">
        <f aca="false">COUNT($B$6:B50)</f>
        <v>45</v>
      </c>
      <c r="I50" s="27" t="n">
        <f aca="false">IF(D50=1,C50+($C$2*30),C50+($C$3*30))</f>
        <v>45616</v>
      </c>
    </row>
    <row r="51" customFormat="false" ht="12" hidden="false" customHeight="false" outlineLevel="0" collapsed="false">
      <c r="B51" s="26" t="n">
        <f aca="false">B50+1</f>
        <v>46</v>
      </c>
      <c r="C51" s="27" t="n">
        <v>44896</v>
      </c>
      <c r="D51" s="10" t="n">
        <f aca="false">RANDBETWEEN(0,1)</f>
        <v>0</v>
      </c>
      <c r="E51" s="10" t="str">
        <f aca="false">IF(D51=0,"PLACEBO","DRUG")</f>
        <v>PLACEBO</v>
      </c>
      <c r="F51" s="10" t="n">
        <f aca="false">SUM($D$6:D51)</f>
        <v>16</v>
      </c>
      <c r="G51" s="10" t="n">
        <f aca="false">+H51-F51</f>
        <v>30</v>
      </c>
      <c r="H51" s="10" t="n">
        <f aca="false">COUNT($B$6:B51)</f>
        <v>46</v>
      </c>
      <c r="I51" s="27" t="n">
        <f aca="false">IF(D51=1,C51+($C$2*30),C51+($C$3*30))</f>
        <v>45616</v>
      </c>
    </row>
    <row r="52" customFormat="false" ht="12" hidden="false" customHeight="false" outlineLevel="0" collapsed="false">
      <c r="B52" s="26" t="n">
        <f aca="false">B51+1</f>
        <v>47</v>
      </c>
      <c r="C52" s="27" t="n">
        <v>44896</v>
      </c>
      <c r="D52" s="10" t="n">
        <f aca="false">RANDBETWEEN(0,1)</f>
        <v>1</v>
      </c>
      <c r="E52" s="10" t="str">
        <f aca="false">IF(D52=0,"PLACEBO","DRUG")</f>
        <v>DRUG</v>
      </c>
      <c r="F52" s="10" t="n">
        <f aca="false">SUM($D$6:D52)</f>
        <v>17</v>
      </c>
      <c r="G52" s="10" t="n">
        <f aca="false">+H52-F52</f>
        <v>30</v>
      </c>
      <c r="H52" s="10" t="n">
        <f aca="false">COUNT($B$6:B52)</f>
        <v>47</v>
      </c>
      <c r="I52" s="27" t="n">
        <f aca="false">IF(D52=1,C52+($C$2*30),C52+($C$3*30))</f>
        <v>45616</v>
      </c>
    </row>
    <row r="53" customFormat="false" ht="12" hidden="false" customHeight="false" outlineLevel="0" collapsed="false">
      <c r="B53" s="26" t="n">
        <f aca="false">B52+1</f>
        <v>48</v>
      </c>
      <c r="C53" s="27" t="n">
        <v>44896</v>
      </c>
      <c r="D53" s="10" t="n">
        <f aca="false">RANDBETWEEN(0,1)</f>
        <v>1</v>
      </c>
      <c r="E53" s="10" t="str">
        <f aca="false">IF(D53=0,"PLACEBO","DRUG")</f>
        <v>DRUG</v>
      </c>
      <c r="F53" s="10" t="n">
        <f aca="false">SUM($D$6:D53)</f>
        <v>18</v>
      </c>
      <c r="G53" s="10" t="n">
        <f aca="false">+H53-F53</f>
        <v>30</v>
      </c>
      <c r="H53" s="10" t="n">
        <f aca="false">COUNT($B$6:B53)</f>
        <v>48</v>
      </c>
      <c r="I53" s="27" t="n">
        <f aca="false">IF(D53=1,C53+($C$2*30),C53+($C$3*30))</f>
        <v>45616</v>
      </c>
    </row>
    <row r="54" customFormat="false" ht="12" hidden="false" customHeight="false" outlineLevel="0" collapsed="false">
      <c r="B54" s="26" t="n">
        <f aca="false">B53+1</f>
        <v>49</v>
      </c>
      <c r="C54" s="27" t="n">
        <v>44927</v>
      </c>
      <c r="D54" s="10" t="n">
        <f aca="false">RANDBETWEEN(0,1)</f>
        <v>1</v>
      </c>
      <c r="E54" s="10" t="str">
        <f aca="false">IF(D54=0,"PLACEBO","DRUG")</f>
        <v>DRUG</v>
      </c>
      <c r="F54" s="10" t="n">
        <f aca="false">SUM($D$6:D54)</f>
        <v>19</v>
      </c>
      <c r="G54" s="10" t="n">
        <f aca="false">+H54-F54</f>
        <v>30</v>
      </c>
      <c r="H54" s="10" t="n">
        <f aca="false">COUNT($B$6:B54)</f>
        <v>49</v>
      </c>
      <c r="I54" s="27" t="n">
        <f aca="false">IF(D54=1,C54+($C$2*30),C54+($C$3*30))</f>
        <v>45647</v>
      </c>
    </row>
    <row r="55" customFormat="false" ht="12" hidden="false" customHeight="false" outlineLevel="0" collapsed="false">
      <c r="B55" s="26" t="n">
        <f aca="false">B54+1</f>
        <v>50</v>
      </c>
      <c r="C55" s="27" t="n">
        <v>44927</v>
      </c>
      <c r="D55" s="10" t="n">
        <f aca="false">RANDBETWEEN(0,1)</f>
        <v>1</v>
      </c>
      <c r="E55" s="10" t="str">
        <f aca="false">IF(D55=0,"PLACEBO","DRUG")</f>
        <v>DRUG</v>
      </c>
      <c r="F55" s="10" t="n">
        <f aca="false">SUM($D$6:D55)</f>
        <v>20</v>
      </c>
      <c r="G55" s="10" t="n">
        <f aca="false">+H55-F55</f>
        <v>30</v>
      </c>
      <c r="H55" s="10" t="n">
        <f aca="false">COUNT($B$6:B55)</f>
        <v>50</v>
      </c>
      <c r="I55" s="27" t="n">
        <f aca="false">IF(D55=1,C55+($C$2*30),C55+($C$3*30))</f>
        <v>45647</v>
      </c>
    </row>
    <row r="56" customFormat="false" ht="12" hidden="false" customHeight="false" outlineLevel="0" collapsed="false">
      <c r="B56" s="26" t="n">
        <f aca="false">B55+1</f>
        <v>51</v>
      </c>
      <c r="C56" s="27" t="n">
        <v>44927</v>
      </c>
      <c r="D56" s="10" t="n">
        <f aca="false">RANDBETWEEN(0,1)</f>
        <v>0</v>
      </c>
      <c r="E56" s="10" t="str">
        <f aca="false">IF(D56=0,"PLACEBO","DRUG")</f>
        <v>PLACEBO</v>
      </c>
      <c r="F56" s="10" t="n">
        <f aca="false">SUM($D$6:D56)</f>
        <v>20</v>
      </c>
      <c r="G56" s="10" t="n">
        <f aca="false">+H56-F56</f>
        <v>31</v>
      </c>
      <c r="H56" s="10" t="n">
        <f aca="false">COUNT($B$6:B56)</f>
        <v>51</v>
      </c>
      <c r="I56" s="27" t="n">
        <f aca="false">IF(D56=1,C56+($C$2*30),C56+($C$3*30))</f>
        <v>45647</v>
      </c>
    </row>
    <row r="57" customFormat="false" ht="12" hidden="false" customHeight="false" outlineLevel="0" collapsed="false">
      <c r="B57" s="26" t="n">
        <f aca="false">B56+1</f>
        <v>52</v>
      </c>
      <c r="C57" s="27" t="n">
        <v>44927</v>
      </c>
      <c r="D57" s="10" t="n">
        <f aca="false">RANDBETWEEN(0,1)</f>
        <v>1</v>
      </c>
      <c r="E57" s="10" t="str">
        <f aca="false">IF(D57=0,"PLACEBO","DRUG")</f>
        <v>DRUG</v>
      </c>
      <c r="F57" s="10" t="n">
        <f aca="false">SUM($D$6:D57)</f>
        <v>21</v>
      </c>
      <c r="G57" s="10" t="n">
        <f aca="false">+H57-F57</f>
        <v>31</v>
      </c>
      <c r="H57" s="10" t="n">
        <f aca="false">COUNT($B$6:B57)</f>
        <v>52</v>
      </c>
      <c r="I57" s="27" t="n">
        <f aca="false">IF(D57=1,C57+($C$2*30),C57+($C$3*30))</f>
        <v>45647</v>
      </c>
    </row>
    <row r="58" customFormat="false" ht="12" hidden="false" customHeight="false" outlineLevel="0" collapsed="false">
      <c r="B58" s="26" t="n">
        <f aca="false">B57+1</f>
        <v>53</v>
      </c>
      <c r="C58" s="27" t="n">
        <v>44927</v>
      </c>
      <c r="D58" s="10" t="n">
        <f aca="false">RANDBETWEEN(0,1)</f>
        <v>1</v>
      </c>
      <c r="E58" s="10" t="str">
        <f aca="false">IF(D58=0,"PLACEBO","DRUG")</f>
        <v>DRUG</v>
      </c>
      <c r="F58" s="10" t="n">
        <f aca="false">SUM($D$6:D58)</f>
        <v>22</v>
      </c>
      <c r="G58" s="10" t="n">
        <f aca="false">+H58-F58</f>
        <v>31</v>
      </c>
      <c r="H58" s="10" t="n">
        <f aca="false">COUNT($B$6:B58)</f>
        <v>53</v>
      </c>
      <c r="I58" s="27" t="n">
        <f aca="false">IF(D58=1,C58+($C$2*30),C58+($C$3*30))</f>
        <v>45647</v>
      </c>
    </row>
    <row r="59" customFormat="false" ht="12" hidden="false" customHeight="false" outlineLevel="0" collapsed="false">
      <c r="B59" s="26" t="n">
        <f aca="false">B58+1</f>
        <v>54</v>
      </c>
      <c r="C59" s="27" t="n">
        <v>44958</v>
      </c>
      <c r="D59" s="10" t="n">
        <f aca="false">RANDBETWEEN(0,1)</f>
        <v>1</v>
      </c>
      <c r="E59" s="10" t="str">
        <f aca="false">IF(D59=0,"PLACEBO","DRUG")</f>
        <v>DRUG</v>
      </c>
      <c r="F59" s="10" t="n">
        <f aca="false">SUM($D$6:D59)</f>
        <v>23</v>
      </c>
      <c r="G59" s="10" t="n">
        <f aca="false">+H59-F59</f>
        <v>31</v>
      </c>
      <c r="H59" s="10" t="n">
        <f aca="false">COUNT($B$6:B59)</f>
        <v>54</v>
      </c>
      <c r="I59" s="27" t="n">
        <f aca="false">IF(D59=1,C59+($C$2*30),C59+($C$3*30))</f>
        <v>45678</v>
      </c>
    </row>
    <row r="60" customFormat="false" ht="12" hidden="false" customHeight="false" outlineLevel="0" collapsed="false">
      <c r="B60" s="26" t="n">
        <f aca="false">B59+1</f>
        <v>55</v>
      </c>
      <c r="C60" s="27" t="n">
        <v>44958</v>
      </c>
      <c r="D60" s="10" t="n">
        <f aca="false">RANDBETWEEN(0,1)</f>
        <v>0</v>
      </c>
      <c r="E60" s="10" t="str">
        <f aca="false">IF(D60=0,"PLACEBO","DRUG")</f>
        <v>PLACEBO</v>
      </c>
      <c r="F60" s="10" t="n">
        <f aca="false">SUM($D$6:D60)</f>
        <v>23</v>
      </c>
      <c r="G60" s="10" t="n">
        <f aca="false">+H60-F60</f>
        <v>32</v>
      </c>
      <c r="H60" s="10" t="n">
        <f aca="false">COUNT($B$6:B60)</f>
        <v>55</v>
      </c>
      <c r="I60" s="27" t="n">
        <f aca="false">IF(D60=1,C60+($C$2*30),C60+($C$3*30))</f>
        <v>45678</v>
      </c>
    </row>
    <row r="61" customFormat="false" ht="12" hidden="false" customHeight="false" outlineLevel="0" collapsed="false">
      <c r="B61" s="26" t="n">
        <f aca="false">B60+1</f>
        <v>56</v>
      </c>
      <c r="C61" s="27" t="n">
        <v>44958</v>
      </c>
      <c r="D61" s="10" t="n">
        <f aca="false">RANDBETWEEN(0,1)</f>
        <v>1</v>
      </c>
      <c r="E61" s="10" t="str">
        <f aca="false">IF(D61=0,"PLACEBO","DRUG")</f>
        <v>DRUG</v>
      </c>
      <c r="F61" s="10" t="n">
        <f aca="false">SUM($D$6:D61)</f>
        <v>24</v>
      </c>
      <c r="G61" s="10" t="n">
        <f aca="false">+H61-F61</f>
        <v>32</v>
      </c>
      <c r="H61" s="10" t="n">
        <f aca="false">COUNT($B$6:B61)</f>
        <v>56</v>
      </c>
      <c r="I61" s="27" t="n">
        <f aca="false">IF(D61=1,C61+($C$2*30),C61+($C$3*30))</f>
        <v>45678</v>
      </c>
    </row>
    <row r="62" customFormat="false" ht="12" hidden="false" customHeight="false" outlineLevel="0" collapsed="false">
      <c r="B62" s="26" t="n">
        <f aca="false">B61+1</f>
        <v>57</v>
      </c>
      <c r="C62" s="27" t="n">
        <v>44958</v>
      </c>
      <c r="D62" s="10" t="n">
        <f aca="false">RANDBETWEEN(0,1)</f>
        <v>0</v>
      </c>
      <c r="E62" s="10" t="str">
        <f aca="false">IF(D62=0,"PLACEBO","DRUG")</f>
        <v>PLACEBO</v>
      </c>
      <c r="F62" s="10" t="n">
        <f aca="false">SUM($D$6:D62)</f>
        <v>24</v>
      </c>
      <c r="G62" s="10" t="n">
        <f aca="false">+H62-F62</f>
        <v>33</v>
      </c>
      <c r="H62" s="10" t="n">
        <f aca="false">COUNT($B$6:B62)</f>
        <v>57</v>
      </c>
      <c r="I62" s="27" t="n">
        <f aca="false">IF(D62=1,C62+($C$2*30),C62+($C$3*30))</f>
        <v>45678</v>
      </c>
    </row>
    <row r="63" customFormat="false" ht="12" hidden="false" customHeight="false" outlineLevel="0" collapsed="false">
      <c r="B63" s="26" t="n">
        <f aca="false">B62+1</f>
        <v>58</v>
      </c>
      <c r="C63" s="27" t="n">
        <v>44958</v>
      </c>
      <c r="D63" s="10" t="n">
        <f aca="false">RANDBETWEEN(0,1)</f>
        <v>1</v>
      </c>
      <c r="E63" s="10" t="str">
        <f aca="false">IF(D63=0,"PLACEBO","DRUG")</f>
        <v>DRUG</v>
      </c>
      <c r="F63" s="10" t="n">
        <f aca="false">SUM($D$6:D63)</f>
        <v>25</v>
      </c>
      <c r="G63" s="10" t="n">
        <f aca="false">+H63-F63</f>
        <v>33</v>
      </c>
      <c r="H63" s="10" t="n">
        <f aca="false">COUNT($B$6:B63)</f>
        <v>58</v>
      </c>
      <c r="I63" s="27" t="n">
        <f aca="false">IF(D63=1,C63+($C$2*30),C63+($C$3*30))</f>
        <v>45678</v>
      </c>
    </row>
    <row r="64" customFormat="false" ht="12" hidden="false" customHeight="false" outlineLevel="0" collapsed="false">
      <c r="B64" s="26" t="n">
        <f aca="false">B63+1</f>
        <v>59</v>
      </c>
      <c r="C64" s="27" t="n">
        <v>44986</v>
      </c>
      <c r="D64" s="10" t="n">
        <f aca="false">RANDBETWEEN(0,1)</f>
        <v>0</v>
      </c>
      <c r="E64" s="10" t="str">
        <f aca="false">IF(D64=0,"PLACEBO","DRUG")</f>
        <v>PLACEBO</v>
      </c>
      <c r="F64" s="10" t="n">
        <f aca="false">SUM($D$6:D64)</f>
        <v>25</v>
      </c>
      <c r="G64" s="10" t="n">
        <f aca="false">+H64-F64</f>
        <v>34</v>
      </c>
      <c r="H64" s="10" t="n">
        <f aca="false">COUNT($B$6:B64)</f>
        <v>59</v>
      </c>
      <c r="I64" s="27" t="n">
        <f aca="false">IF(D64=1,C64+($C$2*30),C64+($C$3*30))</f>
        <v>45706</v>
      </c>
    </row>
    <row r="65" customFormat="false" ht="12" hidden="false" customHeight="false" outlineLevel="0" collapsed="false">
      <c r="B65" s="26" t="n">
        <f aca="false">B64+1</f>
        <v>60</v>
      </c>
      <c r="C65" s="27" t="n">
        <v>44986</v>
      </c>
      <c r="D65" s="10" t="n">
        <f aca="false">RANDBETWEEN(0,1)</f>
        <v>1</v>
      </c>
      <c r="E65" s="10" t="str">
        <f aca="false">IF(D65=0,"PLACEBO","DRUG")</f>
        <v>DRUG</v>
      </c>
      <c r="F65" s="10" t="n">
        <f aca="false">SUM($D$6:D65)</f>
        <v>26</v>
      </c>
      <c r="G65" s="10" t="n">
        <f aca="false">+H65-F65</f>
        <v>34</v>
      </c>
      <c r="H65" s="10" t="n">
        <f aca="false">COUNT($B$6:B65)</f>
        <v>60</v>
      </c>
      <c r="I65" s="27" t="n">
        <f aca="false">IF(D65=1,C65+($C$2*30),C65+($C$3*30))</f>
        <v>45706</v>
      </c>
    </row>
    <row r="66" customFormat="false" ht="12" hidden="false" customHeight="false" outlineLevel="0" collapsed="false">
      <c r="B66" s="26" t="n">
        <f aca="false">B65+1</f>
        <v>61</v>
      </c>
      <c r="C66" s="27" t="n">
        <v>44986</v>
      </c>
      <c r="D66" s="10" t="n">
        <f aca="false">RANDBETWEEN(0,1)</f>
        <v>1</v>
      </c>
      <c r="E66" s="10" t="str">
        <f aca="false">IF(D66=0,"PLACEBO","DRUG")</f>
        <v>DRUG</v>
      </c>
      <c r="F66" s="10" t="n">
        <f aca="false">SUM($D$6:D66)</f>
        <v>27</v>
      </c>
      <c r="G66" s="10" t="n">
        <f aca="false">+H66-F66</f>
        <v>34</v>
      </c>
      <c r="H66" s="10" t="n">
        <f aca="false">COUNT($B$6:B66)</f>
        <v>61</v>
      </c>
      <c r="I66" s="27" t="n">
        <f aca="false">IF(D66=1,C66+($C$2*30),C66+($C$3*30))</f>
        <v>45706</v>
      </c>
    </row>
    <row r="67" customFormat="false" ht="12" hidden="false" customHeight="false" outlineLevel="0" collapsed="false">
      <c r="B67" s="26" t="n">
        <f aca="false">B66+1</f>
        <v>62</v>
      </c>
      <c r="C67" s="27" t="n">
        <v>44986</v>
      </c>
      <c r="D67" s="10" t="n">
        <f aca="false">RANDBETWEEN(0,1)</f>
        <v>1</v>
      </c>
      <c r="E67" s="10" t="str">
        <f aca="false">IF(D67=0,"PLACEBO","DRUG")</f>
        <v>DRUG</v>
      </c>
      <c r="F67" s="10" t="n">
        <f aca="false">SUM($D$6:D67)</f>
        <v>28</v>
      </c>
      <c r="G67" s="10" t="n">
        <f aca="false">+H67-F67</f>
        <v>34</v>
      </c>
      <c r="H67" s="10" t="n">
        <f aca="false">COUNT($B$6:B67)</f>
        <v>62</v>
      </c>
      <c r="I67" s="27" t="n">
        <f aca="false">IF(D67=1,C67+($C$2*30),C67+($C$3*30))</f>
        <v>45706</v>
      </c>
    </row>
    <row r="68" customFormat="false" ht="12" hidden="false" customHeight="false" outlineLevel="0" collapsed="false">
      <c r="B68" s="26" t="n">
        <f aca="false">B67+1</f>
        <v>63</v>
      </c>
      <c r="C68" s="27" t="n">
        <v>44986</v>
      </c>
      <c r="D68" s="10" t="n">
        <f aca="false">RANDBETWEEN(0,1)</f>
        <v>0</v>
      </c>
      <c r="E68" s="10" t="str">
        <f aca="false">IF(D68=0,"PLACEBO","DRUG")</f>
        <v>PLACEBO</v>
      </c>
      <c r="F68" s="10" t="n">
        <f aca="false">SUM($D$6:D68)</f>
        <v>28</v>
      </c>
      <c r="G68" s="10" t="n">
        <f aca="false">+H68-F68</f>
        <v>35</v>
      </c>
      <c r="H68" s="10" t="n">
        <f aca="false">COUNT($B$6:B68)</f>
        <v>63</v>
      </c>
      <c r="I68" s="27" t="n">
        <f aca="false">IF(D68=1,C68+($C$2*30),C68+($C$3*30))</f>
        <v>45706</v>
      </c>
    </row>
    <row r="69" customFormat="false" ht="12" hidden="false" customHeight="false" outlineLevel="0" collapsed="false">
      <c r="B69" s="26" t="n">
        <f aca="false">B68+1</f>
        <v>64</v>
      </c>
      <c r="C69" s="27" t="n">
        <v>45017</v>
      </c>
      <c r="D69" s="10" t="n">
        <f aca="false">RANDBETWEEN(0,1)</f>
        <v>0</v>
      </c>
      <c r="E69" s="10" t="str">
        <f aca="false">IF(D69=0,"PLACEBO","DRUG")</f>
        <v>PLACEBO</v>
      </c>
      <c r="F69" s="10" t="n">
        <f aca="false">SUM($D$6:D69)</f>
        <v>28</v>
      </c>
      <c r="G69" s="10" t="n">
        <f aca="false">+H69-F69</f>
        <v>36</v>
      </c>
      <c r="H69" s="10" t="n">
        <f aca="false">COUNT($B$6:B69)</f>
        <v>64</v>
      </c>
      <c r="I69" s="27" t="n">
        <f aca="false">IF(D69=1,C69+($C$2*30),C69+($C$3*30))</f>
        <v>45737</v>
      </c>
    </row>
    <row r="70" customFormat="false" ht="12" hidden="false" customHeight="false" outlineLevel="0" collapsed="false">
      <c r="B70" s="26" t="n">
        <f aca="false">B69+1</f>
        <v>65</v>
      </c>
      <c r="C70" s="27" t="n">
        <v>45017</v>
      </c>
      <c r="D70" s="10" t="n">
        <f aca="false">RANDBETWEEN(0,1)</f>
        <v>1</v>
      </c>
      <c r="E70" s="10" t="str">
        <f aca="false">IF(D70=0,"PLACEBO","DRUG")</f>
        <v>DRUG</v>
      </c>
      <c r="F70" s="10" t="n">
        <f aca="false">SUM($D$6:D70)</f>
        <v>29</v>
      </c>
      <c r="G70" s="10" t="n">
        <f aca="false">+H70-F70</f>
        <v>36</v>
      </c>
      <c r="H70" s="10" t="n">
        <f aca="false">COUNT($B$6:B70)</f>
        <v>65</v>
      </c>
      <c r="I70" s="27" t="n">
        <f aca="false">IF(D70=1,C70+($C$2*30),C70+($C$3*30))</f>
        <v>45737</v>
      </c>
    </row>
    <row r="71" customFormat="false" ht="12" hidden="false" customHeight="false" outlineLevel="0" collapsed="false">
      <c r="B71" s="26" t="n">
        <f aca="false">B70+1</f>
        <v>66</v>
      </c>
      <c r="C71" s="27" t="n">
        <v>45017</v>
      </c>
      <c r="D71" s="10" t="n">
        <f aca="false">RANDBETWEEN(0,1)</f>
        <v>0</v>
      </c>
      <c r="E71" s="10" t="str">
        <f aca="false">IF(D71=0,"PLACEBO","DRUG")</f>
        <v>PLACEBO</v>
      </c>
      <c r="F71" s="10" t="n">
        <f aca="false">SUM($D$6:D71)</f>
        <v>29</v>
      </c>
      <c r="G71" s="10" t="n">
        <f aca="false">+H71-F71</f>
        <v>37</v>
      </c>
      <c r="H71" s="10" t="n">
        <f aca="false">COUNT($B$6:B71)</f>
        <v>66</v>
      </c>
      <c r="I71" s="27" t="n">
        <f aca="false">IF(D71=1,C71+($C$2*30),C71+($C$3*30))</f>
        <v>45737</v>
      </c>
    </row>
    <row r="72" customFormat="false" ht="12" hidden="false" customHeight="false" outlineLevel="0" collapsed="false">
      <c r="B72" s="26" t="n">
        <f aca="false">B71+1</f>
        <v>67</v>
      </c>
      <c r="C72" s="27" t="n">
        <v>45017</v>
      </c>
      <c r="D72" s="10" t="n">
        <f aca="false">RANDBETWEEN(0,1)</f>
        <v>0</v>
      </c>
      <c r="E72" s="10" t="str">
        <f aca="false">IF(D72=0,"PLACEBO","DRUG")</f>
        <v>PLACEBO</v>
      </c>
      <c r="F72" s="10" t="n">
        <f aca="false">SUM($D$6:D72)</f>
        <v>29</v>
      </c>
      <c r="G72" s="10" t="n">
        <f aca="false">+H72-F72</f>
        <v>38</v>
      </c>
      <c r="H72" s="10" t="n">
        <f aca="false">COUNT($B$6:B72)</f>
        <v>67</v>
      </c>
      <c r="I72" s="27" t="n">
        <f aca="false">IF(D72=1,C72+($C$2*30),C72+($C$3*30))</f>
        <v>45737</v>
      </c>
    </row>
    <row r="73" customFormat="false" ht="12" hidden="false" customHeight="false" outlineLevel="0" collapsed="false">
      <c r="B73" s="26" t="n">
        <f aca="false">B72+1</f>
        <v>68</v>
      </c>
      <c r="C73" s="27" t="n">
        <v>45017</v>
      </c>
      <c r="D73" s="10" t="n">
        <f aca="false">RANDBETWEEN(0,1)</f>
        <v>0</v>
      </c>
      <c r="E73" s="10" t="str">
        <f aca="false">IF(D73=0,"PLACEBO","DRUG")</f>
        <v>PLACEBO</v>
      </c>
      <c r="F73" s="10" t="n">
        <f aca="false">SUM($D$6:D73)</f>
        <v>29</v>
      </c>
      <c r="G73" s="10" t="n">
        <f aca="false">+H73-F73</f>
        <v>39</v>
      </c>
      <c r="H73" s="10" t="n">
        <f aca="false">COUNT($B$6:B73)</f>
        <v>68</v>
      </c>
      <c r="I73" s="27" t="n">
        <f aca="false">IF(D73=1,C73+($C$2*30),C73+($C$3*30))</f>
        <v>45737</v>
      </c>
    </row>
    <row r="74" customFormat="false" ht="12" hidden="false" customHeight="false" outlineLevel="0" collapsed="false">
      <c r="B74" s="26" t="n">
        <f aca="false">B73+1</f>
        <v>69</v>
      </c>
      <c r="C74" s="27" t="n">
        <v>45047</v>
      </c>
      <c r="D74" s="10" t="n">
        <f aca="false">RANDBETWEEN(0,1)</f>
        <v>0</v>
      </c>
      <c r="E74" s="10" t="str">
        <f aca="false">IF(D74=0,"PLACEBO","DRUG")</f>
        <v>PLACEBO</v>
      </c>
      <c r="F74" s="10" t="n">
        <f aca="false">SUM($D$6:D74)</f>
        <v>29</v>
      </c>
      <c r="G74" s="10" t="n">
        <f aca="false">+H74-F74</f>
        <v>40</v>
      </c>
      <c r="H74" s="10" t="n">
        <f aca="false">COUNT($B$6:B74)</f>
        <v>69</v>
      </c>
      <c r="I74" s="27" t="n">
        <f aca="false">IF(D74=1,C74+($C$2*30),C74+($C$3*30))</f>
        <v>45767</v>
      </c>
    </row>
    <row r="75" customFormat="false" ht="12" hidden="false" customHeight="false" outlineLevel="0" collapsed="false">
      <c r="B75" s="26" t="n">
        <f aca="false">B74+1</f>
        <v>70</v>
      </c>
      <c r="C75" s="27" t="n">
        <v>45047</v>
      </c>
      <c r="D75" s="10" t="n">
        <f aca="false">RANDBETWEEN(0,1)</f>
        <v>0</v>
      </c>
      <c r="E75" s="10" t="str">
        <f aca="false">IF(D75=0,"PLACEBO","DRUG")</f>
        <v>PLACEBO</v>
      </c>
      <c r="F75" s="10" t="n">
        <f aca="false">SUM($D$6:D75)</f>
        <v>29</v>
      </c>
      <c r="G75" s="10" t="n">
        <f aca="false">+H75-F75</f>
        <v>41</v>
      </c>
      <c r="H75" s="10" t="n">
        <f aca="false">COUNT($B$6:B75)</f>
        <v>70</v>
      </c>
      <c r="I75" s="27" t="n">
        <f aca="false">IF(D75=1,C75+($C$2*30),C75+($C$3*30))</f>
        <v>45767</v>
      </c>
    </row>
    <row r="76" customFormat="false" ht="12" hidden="false" customHeight="false" outlineLevel="0" collapsed="false">
      <c r="B76" s="26" t="n">
        <f aca="false">B75+1</f>
        <v>71</v>
      </c>
      <c r="C76" s="27" t="n">
        <v>45047</v>
      </c>
      <c r="D76" s="10" t="n">
        <f aca="false">RANDBETWEEN(0,1)</f>
        <v>0</v>
      </c>
      <c r="E76" s="10" t="str">
        <f aca="false">IF(D76=0,"PLACEBO","DRUG")</f>
        <v>PLACEBO</v>
      </c>
      <c r="F76" s="10" t="n">
        <f aca="false">SUM($D$6:D76)</f>
        <v>29</v>
      </c>
      <c r="G76" s="10" t="n">
        <f aca="false">+H76-F76</f>
        <v>42</v>
      </c>
      <c r="H76" s="10" t="n">
        <f aca="false">COUNT($B$6:B76)</f>
        <v>71</v>
      </c>
      <c r="I76" s="27" t="n">
        <f aca="false">IF(D76=1,C76+($C$2*30),C76+($C$3*30))</f>
        <v>45767</v>
      </c>
    </row>
    <row r="77" customFormat="false" ht="12" hidden="false" customHeight="false" outlineLevel="0" collapsed="false">
      <c r="B77" s="26" t="n">
        <f aca="false">B76+1</f>
        <v>72</v>
      </c>
      <c r="C77" s="27" t="n">
        <v>45047</v>
      </c>
      <c r="D77" s="10" t="n">
        <f aca="false">RANDBETWEEN(0,1)</f>
        <v>0</v>
      </c>
      <c r="E77" s="10" t="str">
        <f aca="false">IF(D77=0,"PLACEBO","DRUG")</f>
        <v>PLACEBO</v>
      </c>
      <c r="F77" s="10" t="n">
        <f aca="false">SUM($D$6:D77)</f>
        <v>29</v>
      </c>
      <c r="G77" s="10" t="n">
        <f aca="false">+H77-F77</f>
        <v>43</v>
      </c>
      <c r="H77" s="10" t="n">
        <f aca="false">COUNT($B$6:B77)</f>
        <v>72</v>
      </c>
      <c r="I77" s="27" t="n">
        <f aca="false">IF(D77=1,C77+($C$2*30),C77+($C$3*30))</f>
        <v>45767</v>
      </c>
    </row>
    <row r="78" customFormat="false" ht="12" hidden="false" customHeight="false" outlineLevel="0" collapsed="false">
      <c r="B78" s="26" t="n">
        <f aca="false">B77+1</f>
        <v>73</v>
      </c>
      <c r="C78" s="27" t="n">
        <v>45047</v>
      </c>
      <c r="D78" s="10" t="n">
        <f aca="false">RANDBETWEEN(0,1)</f>
        <v>1</v>
      </c>
      <c r="E78" s="10" t="str">
        <f aca="false">IF(D78=0,"PLACEBO","DRUG")</f>
        <v>DRUG</v>
      </c>
      <c r="F78" s="10" t="n">
        <f aca="false">SUM($D$6:D78)</f>
        <v>30</v>
      </c>
      <c r="G78" s="10" t="n">
        <f aca="false">+H78-F78</f>
        <v>43</v>
      </c>
      <c r="H78" s="10" t="n">
        <f aca="false">COUNT($B$6:B78)</f>
        <v>73</v>
      </c>
      <c r="I78" s="27" t="n">
        <f aca="false">IF(D78=1,C78+($C$2*30),C78+($C$3*30))</f>
        <v>45767</v>
      </c>
    </row>
    <row r="79" customFormat="false" ht="12" hidden="false" customHeight="false" outlineLevel="0" collapsed="false">
      <c r="B79" s="26" t="n">
        <f aca="false">B78+1</f>
        <v>74</v>
      </c>
      <c r="C79" s="27" t="n">
        <v>45078</v>
      </c>
      <c r="D79" s="10" t="n">
        <f aca="false">RANDBETWEEN(0,1)</f>
        <v>1</v>
      </c>
      <c r="E79" s="10" t="str">
        <f aca="false">IF(D79=0,"PLACEBO","DRUG")</f>
        <v>DRUG</v>
      </c>
      <c r="F79" s="10" t="n">
        <f aca="false">SUM($D$6:D79)</f>
        <v>31</v>
      </c>
      <c r="G79" s="10" t="n">
        <f aca="false">+H79-F79</f>
        <v>43</v>
      </c>
      <c r="H79" s="10" t="n">
        <f aca="false">COUNT($B$6:B79)</f>
        <v>74</v>
      </c>
      <c r="I79" s="27" t="n">
        <f aca="false">IF(D79=1,C79+($C$2*30),C79+($C$3*30))</f>
        <v>45798</v>
      </c>
    </row>
    <row r="80" customFormat="false" ht="12" hidden="false" customHeight="false" outlineLevel="0" collapsed="false">
      <c r="B80" s="26" t="n">
        <f aca="false">B79+1</f>
        <v>75</v>
      </c>
      <c r="C80" s="27" t="n">
        <v>45078</v>
      </c>
      <c r="D80" s="10" t="n">
        <f aca="false">RANDBETWEEN(0,1)</f>
        <v>1</v>
      </c>
      <c r="E80" s="10" t="str">
        <f aca="false">IF(D80=0,"PLACEBO","DRUG")</f>
        <v>DRUG</v>
      </c>
      <c r="F80" s="10" t="n">
        <f aca="false">SUM($D$6:D80)</f>
        <v>32</v>
      </c>
      <c r="G80" s="10" t="n">
        <f aca="false">+H80-F80</f>
        <v>43</v>
      </c>
      <c r="H80" s="10" t="n">
        <f aca="false">COUNT($B$6:B80)</f>
        <v>75</v>
      </c>
      <c r="I80" s="27" t="n">
        <f aca="false">IF(D80=1,C80+($C$2*30),C80+($C$3*30))</f>
        <v>45798</v>
      </c>
    </row>
    <row r="81" customFormat="false" ht="12" hidden="false" customHeight="false" outlineLevel="0" collapsed="false">
      <c r="B81" s="26" t="n">
        <f aca="false">B80+1</f>
        <v>76</v>
      </c>
      <c r="C81" s="27" t="n">
        <v>45078</v>
      </c>
      <c r="D81" s="10" t="n">
        <f aca="false">RANDBETWEEN(0,1)</f>
        <v>1</v>
      </c>
      <c r="E81" s="10" t="str">
        <f aca="false">IF(D81=0,"PLACEBO","DRUG")</f>
        <v>DRUG</v>
      </c>
      <c r="F81" s="10" t="n">
        <f aca="false">SUM($D$6:D81)</f>
        <v>33</v>
      </c>
      <c r="G81" s="10" t="n">
        <f aca="false">+H81-F81</f>
        <v>43</v>
      </c>
      <c r="H81" s="10" t="n">
        <f aca="false">COUNT($B$6:B81)</f>
        <v>76</v>
      </c>
      <c r="I81" s="27" t="n">
        <f aca="false">IF(D81=1,C81+($C$2*30),C81+($C$3*30))</f>
        <v>45798</v>
      </c>
    </row>
    <row r="82" customFormat="false" ht="12" hidden="false" customHeight="false" outlineLevel="0" collapsed="false">
      <c r="B82" s="26" t="n">
        <f aca="false">B81+1</f>
        <v>77</v>
      </c>
      <c r="C82" s="27" t="n">
        <v>45078</v>
      </c>
      <c r="D82" s="10" t="n">
        <f aca="false">RANDBETWEEN(0,1)</f>
        <v>1</v>
      </c>
      <c r="E82" s="10" t="str">
        <f aca="false">IF(D82=0,"PLACEBO","DRUG")</f>
        <v>DRUG</v>
      </c>
      <c r="F82" s="10" t="n">
        <f aca="false">SUM($D$6:D82)</f>
        <v>34</v>
      </c>
      <c r="G82" s="10" t="n">
        <f aca="false">+H82-F82</f>
        <v>43</v>
      </c>
      <c r="H82" s="10" t="n">
        <f aca="false">COUNT($B$6:B82)</f>
        <v>77</v>
      </c>
      <c r="I82" s="27" t="n">
        <f aca="false">IF(D82=1,C82+($C$2*30),C82+($C$3*30))</f>
        <v>45798</v>
      </c>
    </row>
    <row r="83" customFormat="false" ht="12" hidden="false" customHeight="false" outlineLevel="0" collapsed="false">
      <c r="B83" s="26" t="n">
        <f aca="false">B82+1</f>
        <v>78</v>
      </c>
      <c r="C83" s="27" t="n">
        <v>45078</v>
      </c>
      <c r="D83" s="10" t="n">
        <f aca="false">RANDBETWEEN(0,1)</f>
        <v>0</v>
      </c>
      <c r="E83" s="10" t="str">
        <f aca="false">IF(D83=0,"PLACEBO","DRUG")</f>
        <v>PLACEBO</v>
      </c>
      <c r="F83" s="10" t="n">
        <f aca="false">SUM($D$6:D83)</f>
        <v>34</v>
      </c>
      <c r="G83" s="10" t="n">
        <f aca="false">+H83-F83</f>
        <v>44</v>
      </c>
      <c r="H83" s="10" t="n">
        <f aca="false">COUNT($B$6:B83)</f>
        <v>78</v>
      </c>
      <c r="I83" s="27" t="n">
        <f aca="false">IF(D83=1,C83+($C$2*30),C83+($C$3*30))</f>
        <v>45798</v>
      </c>
    </row>
    <row r="84" customFormat="false" ht="12" hidden="false" customHeight="false" outlineLevel="0" collapsed="false">
      <c r="B84" s="26" t="n">
        <f aca="false">B83+1</f>
        <v>79</v>
      </c>
      <c r="C84" s="27" t="n">
        <v>45108</v>
      </c>
      <c r="D84" s="10" t="n">
        <f aca="false">RANDBETWEEN(0,1)</f>
        <v>0</v>
      </c>
      <c r="E84" s="10" t="str">
        <f aca="false">IF(D84=0,"PLACEBO","DRUG")</f>
        <v>PLACEBO</v>
      </c>
      <c r="F84" s="10" t="n">
        <f aca="false">SUM($D$6:D84)</f>
        <v>34</v>
      </c>
      <c r="G84" s="10" t="n">
        <f aca="false">+H84-F84</f>
        <v>45</v>
      </c>
      <c r="H84" s="10" t="n">
        <f aca="false">COUNT($B$6:B84)</f>
        <v>79</v>
      </c>
      <c r="I84" s="27" t="n">
        <f aca="false">IF(D84=1,C84+($C$2*30),C84+($C$3*30))</f>
        <v>45828</v>
      </c>
    </row>
    <row r="85" customFormat="false" ht="12" hidden="false" customHeight="false" outlineLevel="0" collapsed="false">
      <c r="B85" s="26" t="n">
        <f aca="false">B84+1</f>
        <v>80</v>
      </c>
      <c r="C85" s="27" t="n">
        <v>45108</v>
      </c>
      <c r="D85" s="10" t="n">
        <f aca="false">RANDBETWEEN(0,1)</f>
        <v>0</v>
      </c>
      <c r="E85" s="10" t="str">
        <f aca="false">IF(D85=0,"PLACEBO","DRUG")</f>
        <v>PLACEBO</v>
      </c>
      <c r="F85" s="10" t="n">
        <f aca="false">SUM($D$6:D85)</f>
        <v>34</v>
      </c>
      <c r="G85" s="10" t="n">
        <f aca="false">+H85-F85</f>
        <v>46</v>
      </c>
      <c r="H85" s="10" t="n">
        <f aca="false">COUNT($B$6:B85)</f>
        <v>80</v>
      </c>
      <c r="I85" s="27" t="n">
        <f aca="false">IF(D85=1,C85+($C$2*30),C85+($C$3*30))</f>
        <v>45828</v>
      </c>
    </row>
    <row r="86" customFormat="false" ht="12" hidden="false" customHeight="false" outlineLevel="0" collapsed="false">
      <c r="B86" s="26" t="n">
        <f aca="false">B85+1</f>
        <v>81</v>
      </c>
      <c r="C86" s="27" t="n">
        <v>45108</v>
      </c>
      <c r="D86" s="10" t="n">
        <f aca="false">RANDBETWEEN(0,1)</f>
        <v>0</v>
      </c>
      <c r="E86" s="10" t="str">
        <f aca="false">IF(D86=0,"PLACEBO","DRUG")</f>
        <v>PLACEBO</v>
      </c>
      <c r="F86" s="10" t="n">
        <f aca="false">SUM($D$6:D86)</f>
        <v>34</v>
      </c>
      <c r="G86" s="10" t="n">
        <f aca="false">+H86-F86</f>
        <v>47</v>
      </c>
      <c r="H86" s="10" t="n">
        <f aca="false">COUNT($B$6:B86)</f>
        <v>81</v>
      </c>
      <c r="I86" s="27" t="n">
        <f aca="false">IF(D86=1,C86+($C$2*30),C86+($C$3*30))</f>
        <v>45828</v>
      </c>
    </row>
    <row r="87" customFormat="false" ht="12" hidden="false" customHeight="false" outlineLevel="0" collapsed="false">
      <c r="B87" s="26" t="n">
        <f aca="false">B86+1</f>
        <v>82</v>
      </c>
      <c r="C87" s="27" t="n">
        <v>45108</v>
      </c>
      <c r="D87" s="10" t="n">
        <f aca="false">RANDBETWEEN(0,1)</f>
        <v>1</v>
      </c>
      <c r="E87" s="10" t="str">
        <f aca="false">IF(D87=0,"PLACEBO","DRUG")</f>
        <v>DRUG</v>
      </c>
      <c r="F87" s="10" t="n">
        <f aca="false">SUM($D$6:D87)</f>
        <v>35</v>
      </c>
      <c r="G87" s="10" t="n">
        <f aca="false">+H87-F87</f>
        <v>47</v>
      </c>
      <c r="H87" s="10" t="n">
        <f aca="false">COUNT($B$6:B87)</f>
        <v>82</v>
      </c>
      <c r="I87" s="27" t="n">
        <f aca="false">IF(D87=1,C87+($C$2*30),C87+($C$3*30))</f>
        <v>45828</v>
      </c>
    </row>
    <row r="88" customFormat="false" ht="12" hidden="false" customHeight="false" outlineLevel="0" collapsed="false">
      <c r="B88" s="26" t="n">
        <f aca="false">B87+1</f>
        <v>83</v>
      </c>
      <c r="C88" s="27" t="n">
        <v>45108</v>
      </c>
      <c r="D88" s="10" t="n">
        <f aca="false">RANDBETWEEN(0,1)</f>
        <v>1</v>
      </c>
      <c r="E88" s="10" t="str">
        <f aca="false">IF(D88=0,"PLACEBO","DRUG")</f>
        <v>DRUG</v>
      </c>
      <c r="F88" s="10" t="n">
        <f aca="false">SUM($D$6:D88)</f>
        <v>36</v>
      </c>
      <c r="G88" s="10" t="n">
        <f aca="false">+H88-F88</f>
        <v>47</v>
      </c>
      <c r="H88" s="10" t="n">
        <f aca="false">COUNT($B$6:B88)</f>
        <v>83</v>
      </c>
      <c r="I88" s="27" t="n">
        <f aca="false">IF(D88=1,C88+($C$2*30),C88+($C$3*30))</f>
        <v>45828</v>
      </c>
    </row>
    <row r="89" customFormat="false" ht="12" hidden="false" customHeight="false" outlineLevel="0" collapsed="false">
      <c r="B89" s="26" t="n">
        <f aca="false">B88+1</f>
        <v>84</v>
      </c>
      <c r="C89" s="27" t="n">
        <v>45139</v>
      </c>
      <c r="D89" s="10" t="n">
        <f aca="false">RANDBETWEEN(0,1)</f>
        <v>0</v>
      </c>
      <c r="E89" s="10" t="str">
        <f aca="false">IF(D89=0,"PLACEBO","DRUG")</f>
        <v>PLACEBO</v>
      </c>
      <c r="F89" s="10" t="n">
        <f aca="false">SUM($D$6:D89)</f>
        <v>36</v>
      </c>
      <c r="G89" s="10" t="n">
        <f aca="false">+H89-F89</f>
        <v>48</v>
      </c>
      <c r="H89" s="10" t="n">
        <f aca="false">COUNT($B$6:B89)</f>
        <v>84</v>
      </c>
      <c r="I89" s="27" t="n">
        <f aca="false">IF(D89=1,C89+($C$2*30),C89+($C$3*30))</f>
        <v>45859</v>
      </c>
    </row>
    <row r="90" customFormat="false" ht="12" hidden="false" customHeight="false" outlineLevel="0" collapsed="false">
      <c r="B90" s="26" t="n">
        <f aca="false">B89+1</f>
        <v>85</v>
      </c>
      <c r="C90" s="27" t="n">
        <v>45139</v>
      </c>
      <c r="D90" s="10" t="n">
        <f aca="false">RANDBETWEEN(0,1)</f>
        <v>1</v>
      </c>
      <c r="E90" s="10" t="str">
        <f aca="false">IF(D90=0,"PLACEBO","DRUG")</f>
        <v>DRUG</v>
      </c>
      <c r="F90" s="10" t="n">
        <f aca="false">SUM($D$6:D90)</f>
        <v>37</v>
      </c>
      <c r="G90" s="10" t="n">
        <f aca="false">+H90-F90</f>
        <v>48</v>
      </c>
      <c r="H90" s="10" t="n">
        <f aca="false">COUNT($B$6:B90)</f>
        <v>85</v>
      </c>
      <c r="I90" s="27" t="n">
        <f aca="false">IF(D90=1,C90+($C$2*30),C90+($C$3*30))</f>
        <v>45859</v>
      </c>
    </row>
    <row r="91" customFormat="false" ht="12" hidden="false" customHeight="false" outlineLevel="0" collapsed="false">
      <c r="B91" s="26" t="n">
        <f aca="false">B90+1</f>
        <v>86</v>
      </c>
      <c r="C91" s="27" t="n">
        <v>45139</v>
      </c>
      <c r="D91" s="10" t="n">
        <f aca="false">RANDBETWEEN(0,1)</f>
        <v>0</v>
      </c>
      <c r="E91" s="10" t="str">
        <f aca="false">IF(D91=0,"PLACEBO","DRUG")</f>
        <v>PLACEBO</v>
      </c>
      <c r="F91" s="10" t="n">
        <f aca="false">SUM($D$6:D91)</f>
        <v>37</v>
      </c>
      <c r="G91" s="10" t="n">
        <f aca="false">+H91-F91</f>
        <v>49</v>
      </c>
      <c r="H91" s="10" t="n">
        <f aca="false">COUNT($B$6:B91)</f>
        <v>86</v>
      </c>
      <c r="I91" s="27" t="n">
        <f aca="false">IF(D91=1,C91+($C$2*30),C91+($C$3*30))</f>
        <v>45859</v>
      </c>
    </row>
    <row r="92" customFormat="false" ht="12" hidden="false" customHeight="false" outlineLevel="0" collapsed="false">
      <c r="B92" s="26" t="n">
        <f aca="false">B91+1</f>
        <v>87</v>
      </c>
      <c r="C92" s="27" t="n">
        <v>45139</v>
      </c>
      <c r="D92" s="10" t="n">
        <f aca="false">RANDBETWEEN(0,1)</f>
        <v>0</v>
      </c>
      <c r="E92" s="10" t="str">
        <f aca="false">IF(D92=0,"PLACEBO","DRUG")</f>
        <v>PLACEBO</v>
      </c>
      <c r="F92" s="10" t="n">
        <f aca="false">SUM($D$6:D92)</f>
        <v>37</v>
      </c>
      <c r="G92" s="10" t="n">
        <f aca="false">+H92-F92</f>
        <v>50</v>
      </c>
      <c r="H92" s="10" t="n">
        <f aca="false">COUNT($B$6:B92)</f>
        <v>87</v>
      </c>
      <c r="I92" s="27" t="n">
        <f aca="false">IF(D92=1,C92+($C$2*30),C92+($C$3*30))</f>
        <v>45859</v>
      </c>
    </row>
    <row r="93" customFormat="false" ht="12" hidden="false" customHeight="false" outlineLevel="0" collapsed="false">
      <c r="B93" s="26" t="n">
        <f aca="false">B92+1</f>
        <v>88</v>
      </c>
      <c r="C93" s="27" t="n">
        <v>45139</v>
      </c>
      <c r="D93" s="10" t="n">
        <f aca="false">RANDBETWEEN(0,1)</f>
        <v>0</v>
      </c>
      <c r="E93" s="10" t="str">
        <f aca="false">IF(D93=0,"PLACEBO","DRUG")</f>
        <v>PLACEBO</v>
      </c>
      <c r="F93" s="10" t="n">
        <f aca="false">SUM($D$6:D93)</f>
        <v>37</v>
      </c>
      <c r="G93" s="10" t="n">
        <f aca="false">+H93-F93</f>
        <v>51</v>
      </c>
      <c r="H93" s="10" t="n">
        <f aca="false">COUNT($B$6:B93)</f>
        <v>88</v>
      </c>
      <c r="I93" s="27" t="n">
        <f aca="false">IF(D93=1,C93+($C$2*30),C93+($C$3*30))</f>
        <v>45859</v>
      </c>
    </row>
    <row r="94" customFormat="false" ht="12" hidden="false" customHeight="false" outlineLevel="0" collapsed="false">
      <c r="B94" s="26" t="n">
        <f aca="false">B93+1</f>
        <v>89</v>
      </c>
      <c r="C94" s="27" t="n">
        <v>45170</v>
      </c>
      <c r="D94" s="10" t="n">
        <f aca="false">RANDBETWEEN(0,1)</f>
        <v>0</v>
      </c>
      <c r="E94" s="10" t="str">
        <f aca="false">IF(D94=0,"PLACEBO","DRUG")</f>
        <v>PLACEBO</v>
      </c>
      <c r="F94" s="10" t="n">
        <f aca="false">SUM($D$6:D94)</f>
        <v>37</v>
      </c>
      <c r="G94" s="10" t="n">
        <f aca="false">+H94-F94</f>
        <v>52</v>
      </c>
      <c r="H94" s="10" t="n">
        <f aca="false">COUNT($B$6:B94)</f>
        <v>89</v>
      </c>
      <c r="I94" s="27" t="n">
        <f aca="false">IF(D94=1,C94+($C$2*30),C94+($C$3*30))</f>
        <v>45890</v>
      </c>
    </row>
    <row r="95" customFormat="false" ht="12" hidden="false" customHeight="false" outlineLevel="0" collapsed="false">
      <c r="B95" s="26" t="n">
        <f aca="false">B94+1</f>
        <v>90</v>
      </c>
      <c r="C95" s="27" t="n">
        <v>45170</v>
      </c>
      <c r="D95" s="10" t="n">
        <f aca="false">RANDBETWEEN(0,1)</f>
        <v>1</v>
      </c>
      <c r="E95" s="10" t="str">
        <f aca="false">IF(D95=0,"PLACEBO","DRUG")</f>
        <v>DRUG</v>
      </c>
      <c r="F95" s="10" t="n">
        <f aca="false">SUM($D$6:D95)</f>
        <v>38</v>
      </c>
      <c r="G95" s="10" t="n">
        <f aca="false">+H95-F95</f>
        <v>52</v>
      </c>
      <c r="H95" s="10" t="n">
        <f aca="false">COUNT($B$6:B95)</f>
        <v>90</v>
      </c>
      <c r="I95" s="27" t="n">
        <f aca="false">IF(D95=1,C95+($C$2*30),C95+($C$3*30))</f>
        <v>45890</v>
      </c>
    </row>
    <row r="96" customFormat="false" ht="12" hidden="false" customHeight="false" outlineLevel="0" collapsed="false">
      <c r="B96" s="26" t="n">
        <f aca="false">B95+1</f>
        <v>91</v>
      </c>
      <c r="C96" s="27" t="n">
        <v>45170</v>
      </c>
      <c r="D96" s="10" t="n">
        <f aca="false">RANDBETWEEN(0,1)</f>
        <v>0</v>
      </c>
      <c r="E96" s="10" t="str">
        <f aca="false">IF(D96=0,"PLACEBO","DRUG")</f>
        <v>PLACEBO</v>
      </c>
      <c r="F96" s="10" t="n">
        <f aca="false">SUM($D$6:D96)</f>
        <v>38</v>
      </c>
      <c r="G96" s="10" t="n">
        <f aca="false">+H96-F96</f>
        <v>53</v>
      </c>
      <c r="H96" s="10" t="n">
        <f aca="false">COUNT($B$6:B96)</f>
        <v>91</v>
      </c>
      <c r="I96" s="27" t="n">
        <f aca="false">IF(D96=1,C96+($C$2*30),C96+($C$3*30))</f>
        <v>45890</v>
      </c>
    </row>
    <row r="97" customFormat="false" ht="12" hidden="false" customHeight="false" outlineLevel="0" collapsed="false">
      <c r="B97" s="26" t="n">
        <f aca="false">B96+1</f>
        <v>92</v>
      </c>
      <c r="C97" s="27" t="n">
        <v>45170</v>
      </c>
      <c r="D97" s="10" t="n">
        <f aca="false">RANDBETWEEN(0,1)</f>
        <v>0</v>
      </c>
      <c r="E97" s="10" t="str">
        <f aca="false">IF(D97=0,"PLACEBO","DRUG")</f>
        <v>PLACEBO</v>
      </c>
      <c r="F97" s="10" t="n">
        <f aca="false">SUM($D$6:D97)</f>
        <v>38</v>
      </c>
      <c r="G97" s="10" t="n">
        <f aca="false">+H97-F97</f>
        <v>54</v>
      </c>
      <c r="H97" s="10" t="n">
        <f aca="false">COUNT($B$6:B97)</f>
        <v>92</v>
      </c>
      <c r="I97" s="27" t="n">
        <f aca="false">IF(D97=1,C97+($C$2*30),C97+($C$3*30))</f>
        <v>45890</v>
      </c>
    </row>
    <row r="98" customFormat="false" ht="12" hidden="false" customHeight="false" outlineLevel="0" collapsed="false">
      <c r="B98" s="26" t="n">
        <f aca="false">B97+1</f>
        <v>93</v>
      </c>
      <c r="C98" s="27" t="n">
        <v>45170</v>
      </c>
      <c r="D98" s="10" t="n">
        <f aca="false">RANDBETWEEN(0,1)</f>
        <v>1</v>
      </c>
      <c r="E98" s="10" t="str">
        <f aca="false">IF(D98=0,"PLACEBO","DRUG")</f>
        <v>DRUG</v>
      </c>
      <c r="F98" s="10" t="n">
        <f aca="false">SUM($D$6:D98)</f>
        <v>39</v>
      </c>
      <c r="G98" s="10" t="n">
        <f aca="false">+H98-F98</f>
        <v>54</v>
      </c>
      <c r="H98" s="10" t="n">
        <f aca="false">COUNT($B$6:B98)</f>
        <v>93</v>
      </c>
      <c r="I98" s="27" t="n">
        <f aca="false">IF(D98=1,C98+($C$2*30),C98+($C$3*30))</f>
        <v>45890</v>
      </c>
    </row>
    <row r="99" customFormat="false" ht="12" hidden="false" customHeight="false" outlineLevel="0" collapsed="false">
      <c r="B99" s="26" t="n">
        <f aca="false">B98+1</f>
        <v>94</v>
      </c>
      <c r="C99" s="27" t="n">
        <v>45200</v>
      </c>
      <c r="D99" s="10" t="n">
        <f aca="false">RANDBETWEEN(0,1)</f>
        <v>0</v>
      </c>
      <c r="E99" s="10" t="str">
        <f aca="false">IF(D99=0,"PLACEBO","DRUG")</f>
        <v>PLACEBO</v>
      </c>
      <c r="F99" s="10" t="n">
        <f aca="false">SUM($D$6:D99)</f>
        <v>39</v>
      </c>
      <c r="G99" s="10" t="n">
        <f aca="false">+H99-F99</f>
        <v>55</v>
      </c>
      <c r="H99" s="10" t="n">
        <f aca="false">COUNT($B$6:B99)</f>
        <v>94</v>
      </c>
      <c r="I99" s="27" t="n">
        <f aca="false">IF(D99=1,C99+($C$2*30),C99+($C$3*30))</f>
        <v>45920</v>
      </c>
    </row>
    <row r="100" customFormat="false" ht="12" hidden="false" customHeight="false" outlineLevel="0" collapsed="false">
      <c r="B100" s="26" t="n">
        <f aca="false">B99+1</f>
        <v>95</v>
      </c>
      <c r="C100" s="27" t="n">
        <v>45200</v>
      </c>
      <c r="D100" s="10" t="n">
        <f aca="false">RANDBETWEEN(0,1)</f>
        <v>0</v>
      </c>
      <c r="E100" s="10" t="str">
        <f aca="false">IF(D100=0,"PLACEBO","DRUG")</f>
        <v>PLACEBO</v>
      </c>
      <c r="F100" s="10" t="n">
        <f aca="false">SUM($D$6:D100)</f>
        <v>39</v>
      </c>
      <c r="G100" s="10" t="n">
        <f aca="false">+H100-F100</f>
        <v>56</v>
      </c>
      <c r="H100" s="10" t="n">
        <f aca="false">COUNT($B$6:B100)</f>
        <v>95</v>
      </c>
      <c r="I100" s="27" t="n">
        <f aca="false">IF(D100=1,C100+($C$2*30),C100+($C$3*30))</f>
        <v>45920</v>
      </c>
    </row>
    <row r="101" customFormat="false" ht="12" hidden="false" customHeight="false" outlineLevel="0" collapsed="false">
      <c r="B101" s="26" t="n">
        <f aca="false">B100+1</f>
        <v>96</v>
      </c>
      <c r="C101" s="27" t="n">
        <v>45200</v>
      </c>
      <c r="D101" s="10" t="n">
        <f aca="false">RANDBETWEEN(0,1)</f>
        <v>0</v>
      </c>
      <c r="E101" s="10" t="str">
        <f aca="false">IF(D101=0,"PLACEBO","DRUG")</f>
        <v>PLACEBO</v>
      </c>
      <c r="F101" s="10" t="n">
        <f aca="false">SUM($D$6:D101)</f>
        <v>39</v>
      </c>
      <c r="G101" s="10" t="n">
        <f aca="false">+H101-F101</f>
        <v>57</v>
      </c>
      <c r="H101" s="10" t="n">
        <f aca="false">COUNT($B$6:B101)</f>
        <v>96</v>
      </c>
      <c r="I101" s="27" t="n">
        <f aca="false">IF(D101=1,C101+($C$2*30),C101+($C$3*30))</f>
        <v>45920</v>
      </c>
    </row>
    <row r="102" customFormat="false" ht="12" hidden="false" customHeight="false" outlineLevel="0" collapsed="false">
      <c r="B102" s="26" t="n">
        <f aca="false">B101+1</f>
        <v>97</v>
      </c>
      <c r="C102" s="27" t="n">
        <v>45200</v>
      </c>
      <c r="D102" s="10" t="n">
        <f aca="false">RANDBETWEEN(0,1)</f>
        <v>1</v>
      </c>
      <c r="E102" s="10" t="str">
        <f aca="false">IF(D102=0,"PLACEBO","DRUG")</f>
        <v>DRUG</v>
      </c>
      <c r="F102" s="10" t="n">
        <f aca="false">SUM($D$6:D102)</f>
        <v>40</v>
      </c>
      <c r="G102" s="10" t="n">
        <f aca="false">+H102-F102</f>
        <v>57</v>
      </c>
      <c r="H102" s="10" t="n">
        <f aca="false">COUNT($B$6:B102)</f>
        <v>97</v>
      </c>
      <c r="I102" s="27" t="n">
        <f aca="false">IF(D102=1,C102+($C$2*30),C102+($C$3*30))</f>
        <v>45920</v>
      </c>
    </row>
    <row r="103" customFormat="false" ht="12" hidden="false" customHeight="false" outlineLevel="0" collapsed="false">
      <c r="B103" s="26" t="n">
        <f aca="false">B102+1</f>
        <v>98</v>
      </c>
      <c r="C103" s="27" t="n">
        <v>45200</v>
      </c>
      <c r="D103" s="10" t="n">
        <f aca="false">RANDBETWEEN(0,1)</f>
        <v>1</v>
      </c>
      <c r="E103" s="10" t="str">
        <f aca="false">IF(D103=0,"PLACEBO","DRUG")</f>
        <v>DRUG</v>
      </c>
      <c r="F103" s="10" t="n">
        <f aca="false">SUM($D$6:D103)</f>
        <v>41</v>
      </c>
      <c r="G103" s="10" t="n">
        <f aca="false">+H103-F103</f>
        <v>57</v>
      </c>
      <c r="H103" s="10" t="n">
        <f aca="false">COUNT($B$6:B103)</f>
        <v>98</v>
      </c>
      <c r="I103" s="27" t="n">
        <f aca="false">IF(D103=1,C103+($C$2*30),C103+($C$3*30))</f>
        <v>45920</v>
      </c>
    </row>
    <row r="104" customFormat="false" ht="12" hidden="false" customHeight="false" outlineLevel="0" collapsed="false">
      <c r="B104" s="26" t="n">
        <f aca="false">B103+1</f>
        <v>99</v>
      </c>
      <c r="C104" s="27" t="n">
        <v>45231</v>
      </c>
      <c r="D104" s="10" t="n">
        <f aca="false">RANDBETWEEN(0,1)</f>
        <v>0</v>
      </c>
      <c r="E104" s="10" t="str">
        <f aca="false">IF(D104=0,"PLACEBO","DRUG")</f>
        <v>PLACEBO</v>
      </c>
      <c r="F104" s="10" t="n">
        <f aca="false">SUM($D$6:D104)</f>
        <v>41</v>
      </c>
      <c r="G104" s="10" t="n">
        <f aca="false">+H104-F104</f>
        <v>58</v>
      </c>
      <c r="H104" s="10" t="n">
        <f aca="false">COUNT($B$6:B104)</f>
        <v>99</v>
      </c>
      <c r="I104" s="27" t="n">
        <f aca="false">IF(D104=1,C104+($C$2*30),C104+($C$3*30))</f>
        <v>45951</v>
      </c>
    </row>
    <row r="105" customFormat="false" ht="12" hidden="false" customHeight="false" outlineLevel="0" collapsed="false">
      <c r="B105" s="26" t="n">
        <f aca="false">B104+1</f>
        <v>100</v>
      </c>
      <c r="C105" s="27" t="n">
        <v>45231</v>
      </c>
      <c r="D105" s="10" t="n">
        <f aca="false">RANDBETWEEN(0,1)</f>
        <v>0</v>
      </c>
      <c r="E105" s="10" t="str">
        <f aca="false">IF(D105=0,"PLACEBO","DRUG")</f>
        <v>PLACEBO</v>
      </c>
      <c r="F105" s="10" t="n">
        <f aca="false">SUM($D$6:D105)</f>
        <v>41</v>
      </c>
      <c r="G105" s="10" t="n">
        <f aca="false">+H105-F105</f>
        <v>59</v>
      </c>
      <c r="H105" s="10" t="n">
        <f aca="false">COUNT($B$6:B105)</f>
        <v>100</v>
      </c>
      <c r="I105" s="27" t="n">
        <f aca="false">IF(D105=1,C105+($C$2*30),C105+($C$3*30))</f>
        <v>45951</v>
      </c>
    </row>
    <row r="106" customFormat="false" ht="12" hidden="false" customHeight="false" outlineLevel="0" collapsed="false">
      <c r="B106" s="26" t="n">
        <f aca="false">B105+1</f>
        <v>101</v>
      </c>
      <c r="C106" s="27" t="n">
        <v>45231</v>
      </c>
      <c r="D106" s="10" t="n">
        <f aca="false">RANDBETWEEN(0,1)</f>
        <v>1</v>
      </c>
      <c r="E106" s="10" t="str">
        <f aca="false">IF(D106=0,"PLACEBO","DRUG")</f>
        <v>DRUG</v>
      </c>
      <c r="F106" s="10" t="n">
        <f aca="false">SUM($D$6:D106)</f>
        <v>42</v>
      </c>
      <c r="G106" s="10" t="n">
        <f aca="false">+H106-F106</f>
        <v>59</v>
      </c>
      <c r="H106" s="10" t="n">
        <f aca="false">COUNT($B$6:B106)</f>
        <v>101</v>
      </c>
      <c r="I106" s="27" t="n">
        <f aca="false">IF(D106=1,C106+($C$2*30),C106+($C$3*30))</f>
        <v>45951</v>
      </c>
    </row>
    <row r="107" customFormat="false" ht="12" hidden="false" customHeight="false" outlineLevel="0" collapsed="false">
      <c r="B107" s="26" t="n">
        <f aca="false">B106+1</f>
        <v>102</v>
      </c>
      <c r="C107" s="27" t="n">
        <v>45231</v>
      </c>
      <c r="D107" s="10" t="n">
        <f aca="false">RANDBETWEEN(0,1)</f>
        <v>0</v>
      </c>
      <c r="E107" s="10" t="str">
        <f aca="false">IF(D107=0,"PLACEBO","DRUG")</f>
        <v>PLACEBO</v>
      </c>
      <c r="F107" s="10" t="n">
        <f aca="false">SUM($D$6:D107)</f>
        <v>42</v>
      </c>
      <c r="G107" s="10" t="n">
        <f aca="false">+H107-F107</f>
        <v>60</v>
      </c>
      <c r="H107" s="10" t="n">
        <f aca="false">COUNT($B$6:B107)</f>
        <v>102</v>
      </c>
      <c r="I107" s="27" t="n">
        <f aca="false">IF(D107=1,C107+($C$2*30),C107+($C$3*30))</f>
        <v>45951</v>
      </c>
    </row>
    <row r="108" customFormat="false" ht="12" hidden="false" customHeight="false" outlineLevel="0" collapsed="false">
      <c r="B108" s="26" t="n">
        <f aca="false">B107+1</f>
        <v>103</v>
      </c>
      <c r="C108" s="27" t="n">
        <v>45231</v>
      </c>
      <c r="D108" s="10" t="n">
        <f aca="false">RANDBETWEEN(0,1)</f>
        <v>0</v>
      </c>
      <c r="E108" s="10" t="str">
        <f aca="false">IF(D108=0,"PLACEBO","DRUG")</f>
        <v>PLACEBO</v>
      </c>
      <c r="F108" s="10" t="n">
        <f aca="false">SUM($D$6:D108)</f>
        <v>42</v>
      </c>
      <c r="G108" s="10" t="n">
        <f aca="false">+H108-F108</f>
        <v>61</v>
      </c>
      <c r="H108" s="10" t="n">
        <f aca="false">COUNT($B$6:B108)</f>
        <v>103</v>
      </c>
      <c r="I108" s="27" t="n">
        <f aca="false">IF(D108=1,C108+($C$2*30),C108+($C$3*30))</f>
        <v>45951</v>
      </c>
    </row>
    <row r="109" customFormat="false" ht="12" hidden="false" customHeight="false" outlineLevel="0" collapsed="false">
      <c r="B109" s="26" t="n">
        <f aca="false">B108+1</f>
        <v>104</v>
      </c>
      <c r="C109" s="27" t="n">
        <v>45261</v>
      </c>
      <c r="D109" s="10" t="n">
        <f aca="false">RANDBETWEEN(0,1)</f>
        <v>0</v>
      </c>
      <c r="E109" s="10" t="str">
        <f aca="false">IF(D109=0,"PLACEBO","DRUG")</f>
        <v>PLACEBO</v>
      </c>
      <c r="F109" s="10" t="n">
        <f aca="false">SUM($D$6:D109)</f>
        <v>42</v>
      </c>
      <c r="G109" s="10" t="n">
        <f aca="false">+H109-F109</f>
        <v>62</v>
      </c>
      <c r="H109" s="10" t="n">
        <f aca="false">COUNT($B$6:B109)</f>
        <v>104</v>
      </c>
      <c r="I109" s="27" t="n">
        <f aca="false">IF(D109=1,C109+($C$2*30),C109+($C$3*30))</f>
        <v>45981</v>
      </c>
    </row>
    <row r="110" customFormat="false" ht="12" hidden="false" customHeight="false" outlineLevel="0" collapsed="false">
      <c r="B110" s="26" t="n">
        <f aca="false">B109+1</f>
        <v>105</v>
      </c>
      <c r="C110" s="27" t="n">
        <v>45261</v>
      </c>
      <c r="D110" s="10" t="n">
        <f aca="false">RANDBETWEEN(0,1)</f>
        <v>1</v>
      </c>
      <c r="E110" s="10" t="str">
        <f aca="false">IF(D110=0,"PLACEBO","DRUG")</f>
        <v>DRUG</v>
      </c>
      <c r="F110" s="10" t="n">
        <f aca="false">SUM($D$6:D110)</f>
        <v>43</v>
      </c>
      <c r="G110" s="10" t="n">
        <f aca="false">+H110-F110</f>
        <v>62</v>
      </c>
      <c r="H110" s="10" t="n">
        <f aca="false">COUNT($B$6:B110)</f>
        <v>105</v>
      </c>
      <c r="I110" s="27" t="n">
        <f aca="false">IF(D110=1,C110+($C$2*30),C110+($C$3*30))</f>
        <v>45981</v>
      </c>
    </row>
    <row r="111" customFormat="false" ht="12" hidden="false" customHeight="false" outlineLevel="0" collapsed="false">
      <c r="B111" s="26" t="n">
        <f aca="false">B110+1</f>
        <v>106</v>
      </c>
      <c r="C111" s="27" t="n">
        <v>45261</v>
      </c>
      <c r="D111" s="10" t="n">
        <f aca="false">RANDBETWEEN(0,1)</f>
        <v>0</v>
      </c>
      <c r="E111" s="10" t="str">
        <f aca="false">IF(D111=0,"PLACEBO","DRUG")</f>
        <v>PLACEBO</v>
      </c>
      <c r="F111" s="10" t="n">
        <f aca="false">SUM($D$6:D111)</f>
        <v>43</v>
      </c>
      <c r="G111" s="10" t="n">
        <f aca="false">+H111-F111</f>
        <v>63</v>
      </c>
      <c r="H111" s="10" t="n">
        <f aca="false">COUNT($B$6:B111)</f>
        <v>106</v>
      </c>
      <c r="I111" s="27" t="n">
        <f aca="false">IF(D111=1,C111+($C$2*30),C111+($C$3*30))</f>
        <v>45981</v>
      </c>
    </row>
    <row r="112" customFormat="false" ht="12" hidden="false" customHeight="false" outlineLevel="0" collapsed="false">
      <c r="B112" s="26" t="n">
        <f aca="false">B111+1</f>
        <v>107</v>
      </c>
      <c r="C112" s="27" t="n">
        <v>45261</v>
      </c>
      <c r="D112" s="10" t="n">
        <f aca="false">RANDBETWEEN(0,1)</f>
        <v>0</v>
      </c>
      <c r="E112" s="10" t="str">
        <f aca="false">IF(D112=0,"PLACEBO","DRUG")</f>
        <v>PLACEBO</v>
      </c>
      <c r="F112" s="10" t="n">
        <f aca="false">SUM($D$6:D112)</f>
        <v>43</v>
      </c>
      <c r="G112" s="10" t="n">
        <f aca="false">+H112-F112</f>
        <v>64</v>
      </c>
      <c r="H112" s="10" t="n">
        <f aca="false">COUNT($B$6:B112)</f>
        <v>107</v>
      </c>
      <c r="I112" s="27" t="n">
        <f aca="false">IF(D112=1,C112+($C$2*30),C112+($C$3*30))</f>
        <v>45981</v>
      </c>
    </row>
    <row r="113" customFormat="false" ht="12" hidden="false" customHeight="false" outlineLevel="0" collapsed="false">
      <c r="B113" s="26" t="n">
        <f aca="false">B112+1</f>
        <v>108</v>
      </c>
      <c r="C113" s="27" t="n">
        <v>45261</v>
      </c>
      <c r="D113" s="10" t="n">
        <f aca="false">RANDBETWEEN(0,1)</f>
        <v>1</v>
      </c>
      <c r="E113" s="10" t="str">
        <f aca="false">IF(D113=0,"PLACEBO","DRUG")</f>
        <v>DRUG</v>
      </c>
      <c r="F113" s="10" t="n">
        <f aca="false">SUM($D$6:D113)</f>
        <v>44</v>
      </c>
      <c r="G113" s="10" t="n">
        <f aca="false">+H113-F113</f>
        <v>64</v>
      </c>
      <c r="H113" s="10" t="n">
        <f aca="false">COUNT($B$6:B113)</f>
        <v>108</v>
      </c>
      <c r="I113" s="27" t="n">
        <f aca="false">IF(D113=1,C113+($C$2*30),C113+($C$3*30))</f>
        <v>45981</v>
      </c>
    </row>
    <row r="114" customFormat="false" ht="12" hidden="false" customHeight="false" outlineLevel="0" collapsed="false">
      <c r="B114" s="26" t="n">
        <f aca="false">B113+1</f>
        <v>109</v>
      </c>
      <c r="C114" s="27" t="n">
        <v>45292</v>
      </c>
      <c r="D114" s="10" t="n">
        <f aca="false">RANDBETWEEN(0,1)</f>
        <v>1</v>
      </c>
      <c r="E114" s="10" t="str">
        <f aca="false">IF(D114=0,"PLACEBO","DRUG")</f>
        <v>DRUG</v>
      </c>
      <c r="F114" s="10" t="n">
        <f aca="false">SUM($D$6:D114)</f>
        <v>45</v>
      </c>
      <c r="G114" s="10" t="n">
        <f aca="false">+H114-F114</f>
        <v>64</v>
      </c>
      <c r="H114" s="10" t="n">
        <f aca="false">COUNT($B$6:B114)</f>
        <v>109</v>
      </c>
      <c r="I114" s="27" t="n">
        <f aca="false">IF(D114=1,C114+($C$2*30),C114+($C$3*30))</f>
        <v>46012</v>
      </c>
    </row>
    <row r="115" customFormat="false" ht="12" hidden="false" customHeight="false" outlineLevel="0" collapsed="false">
      <c r="B115" s="26" t="n">
        <f aca="false">B114+1</f>
        <v>110</v>
      </c>
      <c r="C115" s="27" t="n">
        <v>45292</v>
      </c>
      <c r="D115" s="10" t="n">
        <f aca="false">RANDBETWEEN(0,1)</f>
        <v>0</v>
      </c>
      <c r="E115" s="10" t="str">
        <f aca="false">IF(D115=0,"PLACEBO","DRUG")</f>
        <v>PLACEBO</v>
      </c>
      <c r="F115" s="10" t="n">
        <f aca="false">SUM($D$6:D115)</f>
        <v>45</v>
      </c>
      <c r="G115" s="10" t="n">
        <f aca="false">+H115-F115</f>
        <v>65</v>
      </c>
      <c r="H115" s="10" t="n">
        <f aca="false">COUNT($B$6:B115)</f>
        <v>110</v>
      </c>
      <c r="I115" s="27" t="n">
        <f aca="false">IF(D115=1,C115+($C$2*30),C115+($C$3*30))</f>
        <v>46012</v>
      </c>
    </row>
    <row r="116" customFormat="false" ht="12" hidden="false" customHeight="false" outlineLevel="0" collapsed="false">
      <c r="B116" s="26" t="n">
        <f aca="false">B115+1</f>
        <v>111</v>
      </c>
      <c r="C116" s="27" t="n">
        <v>45292</v>
      </c>
      <c r="D116" s="10" t="n">
        <f aca="false">RANDBETWEEN(0,1)</f>
        <v>1</v>
      </c>
      <c r="E116" s="10" t="str">
        <f aca="false">IF(D116=0,"PLACEBO","DRUG")</f>
        <v>DRUG</v>
      </c>
      <c r="F116" s="10" t="n">
        <f aca="false">SUM($D$6:D116)</f>
        <v>46</v>
      </c>
      <c r="G116" s="10" t="n">
        <f aca="false">+H116-F116</f>
        <v>65</v>
      </c>
      <c r="H116" s="10" t="n">
        <f aca="false">COUNT($B$6:B116)</f>
        <v>111</v>
      </c>
      <c r="I116" s="27" t="n">
        <f aca="false">IF(D116=1,C116+($C$2*30),C116+($C$3*30))</f>
        <v>46012</v>
      </c>
    </row>
    <row r="117" customFormat="false" ht="12" hidden="false" customHeight="false" outlineLevel="0" collapsed="false">
      <c r="B117" s="26" t="n">
        <f aca="false">B116+1</f>
        <v>112</v>
      </c>
      <c r="C117" s="27" t="n">
        <v>45292</v>
      </c>
      <c r="D117" s="10" t="n">
        <f aca="false">RANDBETWEEN(0,1)</f>
        <v>0</v>
      </c>
      <c r="E117" s="10" t="str">
        <f aca="false">IF(D117=0,"PLACEBO","DRUG")</f>
        <v>PLACEBO</v>
      </c>
      <c r="F117" s="10" t="n">
        <f aca="false">SUM($D$6:D117)</f>
        <v>46</v>
      </c>
      <c r="G117" s="10" t="n">
        <f aca="false">+H117-F117</f>
        <v>66</v>
      </c>
      <c r="H117" s="10" t="n">
        <f aca="false">COUNT($B$6:B117)</f>
        <v>112</v>
      </c>
      <c r="I117" s="27" t="n">
        <f aca="false">IF(D117=1,C117+($C$2*30),C117+($C$3*30))</f>
        <v>46012</v>
      </c>
    </row>
    <row r="118" customFormat="false" ht="12" hidden="false" customHeight="false" outlineLevel="0" collapsed="false">
      <c r="B118" s="26" t="n">
        <f aca="false">B117+1</f>
        <v>113</v>
      </c>
      <c r="C118" s="27" t="n">
        <v>45292</v>
      </c>
      <c r="D118" s="10" t="n">
        <f aca="false">RANDBETWEEN(0,1)</f>
        <v>0</v>
      </c>
      <c r="E118" s="10" t="str">
        <f aca="false">IF(D118=0,"PLACEBO","DRUG")</f>
        <v>PLACEBO</v>
      </c>
      <c r="F118" s="10" t="n">
        <f aca="false">SUM($D$6:D118)</f>
        <v>46</v>
      </c>
      <c r="G118" s="10" t="n">
        <f aca="false">+H118-F118</f>
        <v>67</v>
      </c>
      <c r="H118" s="10" t="n">
        <f aca="false">COUNT($B$6:B118)</f>
        <v>113</v>
      </c>
      <c r="I118" s="27" t="n">
        <f aca="false">IF(D118=1,C118+($C$2*30),C118+($C$3*30))</f>
        <v>46012</v>
      </c>
    </row>
    <row r="119" customFormat="false" ht="12" hidden="false" customHeight="false" outlineLevel="0" collapsed="false">
      <c r="B119" s="26" t="n">
        <f aca="false">B118+1</f>
        <v>114</v>
      </c>
      <c r="C119" s="27" t="n">
        <v>45323</v>
      </c>
      <c r="D119" s="10" t="n">
        <f aca="false">RANDBETWEEN(0,1)</f>
        <v>0</v>
      </c>
      <c r="E119" s="10" t="str">
        <f aca="false">IF(D119=0,"PLACEBO","DRUG")</f>
        <v>PLACEBO</v>
      </c>
      <c r="F119" s="10" t="n">
        <f aca="false">SUM($D$6:D119)</f>
        <v>46</v>
      </c>
      <c r="G119" s="10" t="n">
        <f aca="false">+H119-F119</f>
        <v>68</v>
      </c>
      <c r="H119" s="10" t="n">
        <f aca="false">COUNT($B$6:B119)</f>
        <v>114</v>
      </c>
      <c r="I119" s="27" t="n">
        <f aca="false">IF(D119=1,C119+($C$2*30),C119+($C$3*30))</f>
        <v>46043</v>
      </c>
    </row>
    <row r="120" customFormat="false" ht="12" hidden="false" customHeight="false" outlineLevel="0" collapsed="false">
      <c r="B120" s="26" t="n">
        <f aca="false">B119+1</f>
        <v>115</v>
      </c>
      <c r="C120" s="27" t="n">
        <v>45323</v>
      </c>
      <c r="D120" s="10" t="n">
        <f aca="false">RANDBETWEEN(0,1)</f>
        <v>1</v>
      </c>
      <c r="E120" s="10" t="str">
        <f aca="false">IF(D120=0,"PLACEBO","DRUG")</f>
        <v>DRUG</v>
      </c>
      <c r="F120" s="10" t="n">
        <f aca="false">SUM($D$6:D120)</f>
        <v>47</v>
      </c>
      <c r="G120" s="10" t="n">
        <f aca="false">+H120-F120</f>
        <v>68</v>
      </c>
      <c r="H120" s="10" t="n">
        <f aca="false">COUNT($B$6:B120)</f>
        <v>115</v>
      </c>
      <c r="I120" s="27" t="n">
        <f aca="false">IF(D120=1,C120+($C$2*30),C120+($C$3*30))</f>
        <v>46043</v>
      </c>
    </row>
    <row r="121" customFormat="false" ht="12" hidden="false" customHeight="false" outlineLevel="0" collapsed="false">
      <c r="B121" s="26" t="n">
        <f aca="false">B120+1</f>
        <v>116</v>
      </c>
      <c r="C121" s="27" t="n">
        <v>45323</v>
      </c>
      <c r="D121" s="10" t="n">
        <f aca="false">RANDBETWEEN(0,1)</f>
        <v>1</v>
      </c>
      <c r="E121" s="10" t="str">
        <f aca="false">IF(D121=0,"PLACEBO","DRUG")</f>
        <v>DRUG</v>
      </c>
      <c r="F121" s="10" t="n">
        <f aca="false">SUM($D$6:D121)</f>
        <v>48</v>
      </c>
      <c r="G121" s="10" t="n">
        <f aca="false">+H121-F121</f>
        <v>68</v>
      </c>
      <c r="H121" s="10" t="n">
        <f aca="false">COUNT($B$6:B121)</f>
        <v>116</v>
      </c>
      <c r="I121" s="27" t="n">
        <f aca="false">IF(D121=1,C121+($C$2*30),C121+($C$3*30))</f>
        <v>46043</v>
      </c>
    </row>
    <row r="122" customFormat="false" ht="12" hidden="false" customHeight="false" outlineLevel="0" collapsed="false">
      <c r="B122" s="26" t="n">
        <f aca="false">B121+1</f>
        <v>117</v>
      </c>
      <c r="C122" s="27" t="n">
        <v>45323</v>
      </c>
      <c r="D122" s="10" t="n">
        <f aca="false">RANDBETWEEN(0,1)</f>
        <v>1</v>
      </c>
      <c r="E122" s="10" t="str">
        <f aca="false">IF(D122=0,"PLACEBO","DRUG")</f>
        <v>DRUG</v>
      </c>
      <c r="F122" s="10" t="n">
        <f aca="false">SUM($D$6:D122)</f>
        <v>49</v>
      </c>
      <c r="G122" s="10" t="n">
        <f aca="false">+H122-F122</f>
        <v>68</v>
      </c>
      <c r="H122" s="10" t="n">
        <f aca="false">COUNT($B$6:B122)</f>
        <v>117</v>
      </c>
      <c r="I122" s="27" t="n">
        <f aca="false">IF(D122=1,C122+($C$2*30),C122+($C$3*30))</f>
        <v>46043</v>
      </c>
    </row>
    <row r="123" customFormat="false" ht="12" hidden="false" customHeight="false" outlineLevel="0" collapsed="false">
      <c r="B123" s="26" t="n">
        <f aca="false">B122+1</f>
        <v>118</v>
      </c>
      <c r="C123" s="27" t="n">
        <v>45323</v>
      </c>
      <c r="D123" s="10" t="n">
        <f aca="false">RANDBETWEEN(0,1)</f>
        <v>0</v>
      </c>
      <c r="E123" s="10" t="str">
        <f aca="false">IF(D123=0,"PLACEBO","DRUG")</f>
        <v>PLACEBO</v>
      </c>
      <c r="F123" s="10" t="n">
        <f aca="false">SUM($D$6:D123)</f>
        <v>49</v>
      </c>
      <c r="G123" s="10" t="n">
        <f aca="false">+H123-F123</f>
        <v>69</v>
      </c>
      <c r="H123" s="10" t="n">
        <f aca="false">COUNT($B$6:B123)</f>
        <v>118</v>
      </c>
      <c r="I123" s="27" t="n">
        <f aca="false">IF(D123=1,C123+($C$2*30),C123+($C$3*30))</f>
        <v>46043</v>
      </c>
    </row>
    <row r="124" customFormat="false" ht="12" hidden="false" customHeight="false" outlineLevel="0" collapsed="false">
      <c r="B124" s="26" t="n">
        <f aca="false">B123+1</f>
        <v>119</v>
      </c>
      <c r="C124" s="27" t="n">
        <v>45352</v>
      </c>
      <c r="D124" s="10" t="n">
        <f aca="false">RANDBETWEEN(0,1)</f>
        <v>0</v>
      </c>
      <c r="E124" s="10" t="str">
        <f aca="false">IF(D124=0,"PLACEBO","DRUG")</f>
        <v>PLACEBO</v>
      </c>
      <c r="F124" s="10" t="n">
        <f aca="false">SUM($D$6:D124)</f>
        <v>49</v>
      </c>
      <c r="G124" s="10" t="n">
        <f aca="false">+H124-F124</f>
        <v>70</v>
      </c>
      <c r="H124" s="10" t="n">
        <f aca="false">COUNT($B$6:B124)</f>
        <v>119</v>
      </c>
      <c r="I124" s="27" t="n">
        <f aca="false">IF(D124=1,C124+($C$2*30),C124+($C$3*30))</f>
        <v>46072</v>
      </c>
    </row>
    <row r="125" customFormat="false" ht="12" hidden="false" customHeight="false" outlineLevel="0" collapsed="false">
      <c r="B125" s="26" t="n">
        <f aca="false">B124+1</f>
        <v>120</v>
      </c>
      <c r="C125" s="27" t="n">
        <v>45352</v>
      </c>
      <c r="D125" s="10" t="n">
        <f aca="false">RANDBETWEEN(0,1)</f>
        <v>1</v>
      </c>
      <c r="E125" s="10" t="str">
        <f aca="false">IF(D125=0,"PLACEBO","DRUG")</f>
        <v>DRUG</v>
      </c>
      <c r="F125" s="10" t="n">
        <f aca="false">SUM($D$6:D125)</f>
        <v>50</v>
      </c>
      <c r="G125" s="10" t="n">
        <f aca="false">+H125-F125</f>
        <v>70</v>
      </c>
      <c r="H125" s="10" t="n">
        <f aca="false">COUNT($B$6:B125)</f>
        <v>120</v>
      </c>
      <c r="I125" s="27" t="n">
        <f aca="false">IF(D125=1,C125+($C$2*30),C125+($C$3*30))</f>
        <v>46072</v>
      </c>
    </row>
    <row r="126" customFormat="false" ht="12" hidden="false" customHeight="false" outlineLevel="0" collapsed="false">
      <c r="B126" s="26" t="n">
        <f aca="false">B125+1</f>
        <v>121</v>
      </c>
      <c r="C126" s="27" t="n">
        <v>45352</v>
      </c>
      <c r="D126" s="10" t="n">
        <f aca="false">RANDBETWEEN(0,1)</f>
        <v>0</v>
      </c>
      <c r="E126" s="10" t="str">
        <f aca="false">IF(D126=0,"PLACEBO","DRUG")</f>
        <v>PLACEBO</v>
      </c>
      <c r="F126" s="10" t="n">
        <f aca="false">SUM($D$6:D126)</f>
        <v>50</v>
      </c>
      <c r="G126" s="10" t="n">
        <f aca="false">+H126-F126</f>
        <v>71</v>
      </c>
      <c r="H126" s="10" t="n">
        <f aca="false">COUNT($B$6:B126)</f>
        <v>121</v>
      </c>
      <c r="I126" s="27" t="n">
        <f aca="false">IF(D126=1,C126+($C$2*30),C126+($C$3*30))</f>
        <v>46072</v>
      </c>
    </row>
    <row r="127" customFormat="false" ht="12" hidden="false" customHeight="false" outlineLevel="0" collapsed="false">
      <c r="B127" s="26" t="n">
        <f aca="false">B126+1</f>
        <v>122</v>
      </c>
      <c r="C127" s="27" t="n">
        <v>45352</v>
      </c>
      <c r="D127" s="10" t="n">
        <f aca="false">RANDBETWEEN(0,1)</f>
        <v>0</v>
      </c>
      <c r="E127" s="10" t="str">
        <f aca="false">IF(D127=0,"PLACEBO","DRUG")</f>
        <v>PLACEBO</v>
      </c>
      <c r="F127" s="10" t="n">
        <f aca="false">SUM($D$6:D127)</f>
        <v>50</v>
      </c>
      <c r="G127" s="10" t="n">
        <f aca="false">+H127-F127</f>
        <v>72</v>
      </c>
      <c r="H127" s="10" t="n">
        <f aca="false">COUNT($B$6:B127)</f>
        <v>122</v>
      </c>
      <c r="I127" s="27" t="n">
        <f aca="false">IF(D127=1,C127+($C$2*30),C127+($C$3*30))</f>
        <v>46072</v>
      </c>
    </row>
    <row r="128" customFormat="false" ht="12" hidden="false" customHeight="false" outlineLevel="0" collapsed="false">
      <c r="B128" s="26" t="n">
        <f aca="false">B127+1</f>
        <v>123</v>
      </c>
      <c r="C128" s="27" t="n">
        <v>45352</v>
      </c>
      <c r="D128" s="10" t="n">
        <f aca="false">RANDBETWEEN(0,1)</f>
        <v>1</v>
      </c>
      <c r="E128" s="10" t="str">
        <f aca="false">IF(D128=0,"PLACEBO","DRUG")</f>
        <v>DRUG</v>
      </c>
      <c r="F128" s="10" t="n">
        <f aca="false">SUM($D$6:D128)</f>
        <v>51</v>
      </c>
      <c r="G128" s="10" t="n">
        <f aca="false">+H128-F128</f>
        <v>72</v>
      </c>
      <c r="H128" s="10" t="n">
        <f aca="false">COUNT($B$6:B128)</f>
        <v>123</v>
      </c>
      <c r="I128" s="27" t="n">
        <f aca="false">IF(D128=1,C128+($C$2*30),C128+($C$3*30))</f>
        <v>46072</v>
      </c>
    </row>
    <row r="129" customFormat="false" ht="12" hidden="false" customHeight="false" outlineLevel="0" collapsed="false">
      <c r="B129" s="26" t="n">
        <f aca="false">B128+1</f>
        <v>124</v>
      </c>
      <c r="C129" s="27" t="n">
        <v>45383</v>
      </c>
      <c r="D129" s="10" t="n">
        <f aca="false">RANDBETWEEN(0,1)</f>
        <v>0</v>
      </c>
      <c r="E129" s="10" t="str">
        <f aca="false">IF(D129=0,"PLACEBO","DRUG")</f>
        <v>PLACEBO</v>
      </c>
      <c r="F129" s="10" t="n">
        <f aca="false">SUM($D$6:D129)</f>
        <v>51</v>
      </c>
      <c r="G129" s="10" t="n">
        <f aca="false">+H129-F129</f>
        <v>73</v>
      </c>
      <c r="H129" s="10" t="n">
        <f aca="false">COUNT($B$6:B129)</f>
        <v>124</v>
      </c>
      <c r="I129" s="27" t="n">
        <f aca="false">IF(D129=1,C129+($C$2*30),C129+($C$3*30))</f>
        <v>46103</v>
      </c>
    </row>
    <row r="130" customFormat="false" ht="12" hidden="false" customHeight="false" outlineLevel="0" collapsed="false">
      <c r="B130" s="26" t="n">
        <f aca="false">B129+1</f>
        <v>125</v>
      </c>
      <c r="C130" s="27" t="n">
        <v>45383</v>
      </c>
      <c r="D130" s="10" t="n">
        <f aca="false">RANDBETWEEN(0,1)</f>
        <v>1</v>
      </c>
      <c r="E130" s="10" t="str">
        <f aca="false">IF(D130=0,"PLACEBO","DRUG")</f>
        <v>DRUG</v>
      </c>
      <c r="F130" s="10" t="n">
        <f aca="false">SUM($D$6:D130)</f>
        <v>52</v>
      </c>
      <c r="G130" s="10" t="n">
        <f aca="false">+H130-F130</f>
        <v>73</v>
      </c>
      <c r="H130" s="10" t="n">
        <f aca="false">COUNT($B$6:B130)</f>
        <v>125</v>
      </c>
      <c r="I130" s="27" t="n">
        <f aca="false">IF(D130=1,C130+($C$2*30),C130+($C$3*30))</f>
        <v>46103</v>
      </c>
    </row>
    <row r="131" customFormat="false" ht="12" hidden="false" customHeight="false" outlineLevel="0" collapsed="false">
      <c r="B131" s="26" t="n">
        <f aca="false">B130+1</f>
        <v>126</v>
      </c>
      <c r="C131" s="27" t="n">
        <v>45383</v>
      </c>
      <c r="D131" s="10" t="n">
        <f aca="false">RANDBETWEEN(0,1)</f>
        <v>1</v>
      </c>
      <c r="E131" s="10" t="str">
        <f aca="false">IF(D131=0,"PLACEBO","DRUG")</f>
        <v>DRUG</v>
      </c>
      <c r="F131" s="10" t="n">
        <f aca="false">SUM($D$6:D131)</f>
        <v>53</v>
      </c>
      <c r="G131" s="10" t="n">
        <f aca="false">+H131-F131</f>
        <v>73</v>
      </c>
      <c r="H131" s="10" t="n">
        <f aca="false">COUNT($B$6:B131)</f>
        <v>126</v>
      </c>
      <c r="I131" s="27" t="n">
        <f aca="false">IF(D131=1,C131+($C$2*30),C131+($C$3*30))</f>
        <v>46103</v>
      </c>
    </row>
    <row r="132" customFormat="false" ht="12" hidden="false" customHeight="false" outlineLevel="0" collapsed="false">
      <c r="B132" s="26" t="n">
        <f aca="false">B131+1</f>
        <v>127</v>
      </c>
      <c r="C132" s="27" t="n">
        <v>45383</v>
      </c>
      <c r="D132" s="10" t="n">
        <f aca="false">RANDBETWEEN(0,1)</f>
        <v>1</v>
      </c>
      <c r="E132" s="10" t="str">
        <f aca="false">IF(D132=0,"PLACEBO","DRUG")</f>
        <v>DRUG</v>
      </c>
      <c r="F132" s="10" t="n">
        <f aca="false">SUM($D$6:D132)</f>
        <v>54</v>
      </c>
      <c r="G132" s="10" t="n">
        <f aca="false">+H132-F132</f>
        <v>73</v>
      </c>
      <c r="H132" s="10" t="n">
        <f aca="false">COUNT($B$6:B132)</f>
        <v>127</v>
      </c>
      <c r="I132" s="27" t="n">
        <f aca="false">IF(D132=1,C132+($C$2*30),C132+($C$3*30))</f>
        <v>46103</v>
      </c>
    </row>
  </sheetData>
  <mergeCells count="1">
    <mergeCell ref="J4:K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C6" activeCellId="0" sqref="C6"/>
    </sheetView>
  </sheetViews>
  <sheetFormatPr defaultColWidth="8.6796875" defaultRowHeight="12" zeroHeight="false" outlineLevelRow="0" outlineLevelCol="0"/>
  <cols>
    <col collapsed="false" customWidth="true" hidden="false" outlineLevel="0" max="3" min="3" style="0" width="8.91"/>
    <col collapsed="false" customWidth="true" hidden="false" outlineLevel="0" max="4" min="4" style="0" width="0.63"/>
    <col collapsed="false" customWidth="false" hidden="false" outlineLevel="0" max="8" min="6" style="10" width="8.73"/>
    <col collapsed="false" customWidth="true" hidden="false" outlineLevel="0" max="9" min="9" style="10" width="9.91"/>
    <col collapsed="false" customWidth="false" hidden="false" outlineLevel="0" max="12" min="10" style="7" width="8.73"/>
  </cols>
  <sheetData>
    <row r="2" customFormat="false" ht="12" hidden="false" customHeight="false" outlineLevel="0" collapsed="false">
      <c r="B2" s="0" t="s">
        <v>145</v>
      </c>
      <c r="C2" s="0" t="n">
        <v>18</v>
      </c>
      <c r="E2" s="0" t="s">
        <v>146</v>
      </c>
    </row>
    <row r="3" customFormat="false" ht="12" hidden="false" customHeight="false" outlineLevel="0" collapsed="false">
      <c r="B3" s="0" t="s">
        <v>145</v>
      </c>
      <c r="C3" s="0" t="n">
        <v>18</v>
      </c>
      <c r="E3" s="0" t="s">
        <v>140</v>
      </c>
    </row>
    <row r="4" customFormat="false" ht="12" hidden="false" customHeight="false" outlineLevel="0" collapsed="false">
      <c r="J4" s="24" t="s">
        <v>139</v>
      </c>
      <c r="K4" s="24"/>
      <c r="L4" s="24"/>
    </row>
    <row r="5" customFormat="false" ht="12" hidden="false" customHeight="false" outlineLevel="0" collapsed="false">
      <c r="B5" s="0" t="s">
        <v>148</v>
      </c>
      <c r="C5" s="0" t="s">
        <v>149</v>
      </c>
      <c r="D5" s="0" t="s">
        <v>150</v>
      </c>
      <c r="E5" s="0" t="s">
        <v>151</v>
      </c>
      <c r="F5" s="10" t="s">
        <v>146</v>
      </c>
      <c r="G5" s="10" t="s">
        <v>152</v>
      </c>
      <c r="H5" s="10" t="s">
        <v>135</v>
      </c>
      <c r="I5" s="10" t="s">
        <v>153</v>
      </c>
      <c r="J5" s="7" t="s">
        <v>146</v>
      </c>
      <c r="K5" s="7" t="s">
        <v>154</v>
      </c>
      <c r="L5" s="7" t="s">
        <v>135</v>
      </c>
    </row>
    <row r="6" s="18" customFormat="true" ht="12.75" hidden="false" customHeight="true" outlineLevel="0" collapsed="false">
      <c r="B6" s="18" t="n">
        <v>1</v>
      </c>
      <c r="C6" s="28" t="n">
        <v>44197</v>
      </c>
      <c r="D6" s="18" t="n">
        <v>1</v>
      </c>
      <c r="E6" s="18" t="s">
        <v>155</v>
      </c>
      <c r="F6" s="29" t="n">
        <v>1</v>
      </c>
      <c r="G6" s="29" t="n">
        <v>0</v>
      </c>
      <c r="H6" s="29" t="n">
        <v>1</v>
      </c>
      <c r="I6" s="30" t="n">
        <v>44737</v>
      </c>
      <c r="J6" s="31" t="n">
        <v>0</v>
      </c>
      <c r="K6" s="31" t="n">
        <v>0</v>
      </c>
      <c r="L6" s="31" t="n">
        <f aca="false">+K6+J6</f>
        <v>0</v>
      </c>
    </row>
    <row r="7" s="18" customFormat="true" ht="12.75" hidden="false" customHeight="true" outlineLevel="0" collapsed="false">
      <c r="B7" s="18" t="n">
        <v>2</v>
      </c>
      <c r="C7" s="28" t="n">
        <v>44228</v>
      </c>
      <c r="D7" s="18" t="n">
        <v>1</v>
      </c>
      <c r="E7" s="18" t="s">
        <v>155</v>
      </c>
      <c r="F7" s="29" t="n">
        <v>2</v>
      </c>
      <c r="G7" s="29" t="n">
        <v>0</v>
      </c>
      <c r="H7" s="29" t="n">
        <v>2</v>
      </c>
      <c r="I7" s="30" t="n">
        <v>44768</v>
      </c>
      <c r="J7" s="31" t="n">
        <v>0</v>
      </c>
      <c r="K7" s="31" t="n">
        <v>0</v>
      </c>
      <c r="L7" s="31" t="n">
        <f aca="false">+K7+J7</f>
        <v>0</v>
      </c>
    </row>
    <row r="8" s="18" customFormat="true" ht="12.75" hidden="false" customHeight="true" outlineLevel="0" collapsed="false">
      <c r="B8" s="18" t="n">
        <v>3</v>
      </c>
      <c r="C8" s="28" t="n">
        <v>44256</v>
      </c>
      <c r="D8" s="18" t="n">
        <v>0</v>
      </c>
      <c r="E8" s="18" t="s">
        <v>156</v>
      </c>
      <c r="F8" s="29" t="n">
        <v>2</v>
      </c>
      <c r="G8" s="29" t="n">
        <v>1</v>
      </c>
      <c r="H8" s="29" t="n">
        <v>3</v>
      </c>
      <c r="I8" s="30" t="n">
        <v>44796</v>
      </c>
      <c r="J8" s="31" t="n">
        <v>0</v>
      </c>
      <c r="K8" s="31" t="n">
        <v>0</v>
      </c>
      <c r="L8" s="31" t="n">
        <f aca="false">+K8+J8</f>
        <v>0</v>
      </c>
    </row>
    <row r="9" s="18" customFormat="true" ht="12.75" hidden="false" customHeight="true" outlineLevel="0" collapsed="false">
      <c r="B9" s="18" t="n">
        <v>4</v>
      </c>
      <c r="C9" s="28" t="n">
        <v>44287</v>
      </c>
      <c r="D9" s="18" t="n">
        <v>1</v>
      </c>
      <c r="E9" s="18" t="s">
        <v>155</v>
      </c>
      <c r="F9" s="29" t="n">
        <v>3</v>
      </c>
      <c r="G9" s="29" t="n">
        <v>1</v>
      </c>
      <c r="H9" s="29" t="n">
        <v>4</v>
      </c>
      <c r="I9" s="30" t="n">
        <v>44827</v>
      </c>
      <c r="J9" s="31" t="n">
        <v>0</v>
      </c>
      <c r="K9" s="31" t="n">
        <v>0</v>
      </c>
      <c r="L9" s="31" t="n">
        <f aca="false">+K9+J9</f>
        <v>0</v>
      </c>
    </row>
    <row r="10" s="18" customFormat="true" ht="12.75" hidden="false" customHeight="true" outlineLevel="0" collapsed="false">
      <c r="B10" s="18" t="n">
        <v>5</v>
      </c>
      <c r="C10" s="28" t="n">
        <v>44317</v>
      </c>
      <c r="D10" s="18" t="n">
        <v>1</v>
      </c>
      <c r="E10" s="18" t="s">
        <v>155</v>
      </c>
      <c r="F10" s="29" t="n">
        <v>4</v>
      </c>
      <c r="G10" s="29" t="n">
        <v>1</v>
      </c>
      <c r="H10" s="29" t="n">
        <v>5</v>
      </c>
      <c r="I10" s="30" t="n">
        <v>44857</v>
      </c>
      <c r="J10" s="31" t="n">
        <v>0</v>
      </c>
      <c r="K10" s="31" t="n">
        <v>0</v>
      </c>
      <c r="L10" s="31" t="n">
        <f aca="false">+K10+J10</f>
        <v>0</v>
      </c>
    </row>
    <row r="11" s="18" customFormat="true" ht="12.75" hidden="false" customHeight="true" outlineLevel="0" collapsed="false">
      <c r="B11" s="18" t="n">
        <v>6</v>
      </c>
      <c r="C11" s="28" t="n">
        <v>44348</v>
      </c>
      <c r="D11" s="18" t="n">
        <v>0</v>
      </c>
      <c r="E11" s="18" t="s">
        <v>156</v>
      </c>
      <c r="F11" s="29" t="n">
        <v>4</v>
      </c>
      <c r="G11" s="29" t="n">
        <v>2</v>
      </c>
      <c r="H11" s="29" t="n">
        <v>6</v>
      </c>
      <c r="I11" s="30" t="n">
        <v>44888</v>
      </c>
      <c r="J11" s="31" t="n">
        <v>0</v>
      </c>
      <c r="K11" s="31" t="n">
        <v>0</v>
      </c>
      <c r="L11" s="31" t="n">
        <f aca="false">+K11+J11</f>
        <v>0</v>
      </c>
    </row>
    <row r="12" s="18" customFormat="true" ht="12.75" hidden="false" customHeight="true" outlineLevel="0" collapsed="false">
      <c r="B12" s="18" t="n">
        <v>7</v>
      </c>
      <c r="C12" s="28" t="n">
        <v>44378</v>
      </c>
      <c r="D12" s="18" t="n">
        <v>1</v>
      </c>
      <c r="E12" s="18" t="s">
        <v>155</v>
      </c>
      <c r="F12" s="29" t="n">
        <v>5</v>
      </c>
      <c r="G12" s="29" t="n">
        <v>2</v>
      </c>
      <c r="H12" s="29" t="n">
        <v>7</v>
      </c>
      <c r="I12" s="30" t="n">
        <v>44918</v>
      </c>
      <c r="J12" s="31" t="n">
        <v>0</v>
      </c>
      <c r="K12" s="31" t="n">
        <v>0</v>
      </c>
      <c r="L12" s="31" t="n">
        <f aca="false">+K12+J12</f>
        <v>0</v>
      </c>
    </row>
    <row r="13" s="18" customFormat="true" ht="12.75" hidden="false" customHeight="true" outlineLevel="0" collapsed="false">
      <c r="B13" s="18" t="n">
        <v>8</v>
      </c>
      <c r="C13" s="28" t="n">
        <v>44409</v>
      </c>
      <c r="D13" s="18" t="n">
        <v>1</v>
      </c>
      <c r="E13" s="18" t="s">
        <v>155</v>
      </c>
      <c r="F13" s="29" t="n">
        <v>6</v>
      </c>
      <c r="G13" s="29" t="n">
        <v>2</v>
      </c>
      <c r="H13" s="29" t="n">
        <v>8</v>
      </c>
      <c r="I13" s="30" t="n">
        <v>44949</v>
      </c>
      <c r="J13" s="31" t="n">
        <v>0</v>
      </c>
      <c r="K13" s="31" t="n">
        <v>0</v>
      </c>
      <c r="L13" s="31" t="n">
        <f aca="false">+K13+J13</f>
        <v>0</v>
      </c>
    </row>
    <row r="14" s="18" customFormat="true" ht="12.75" hidden="false" customHeight="true" outlineLevel="0" collapsed="false">
      <c r="B14" s="18" t="n">
        <v>9</v>
      </c>
      <c r="C14" s="28" t="n">
        <v>44440</v>
      </c>
      <c r="D14" s="18" t="n">
        <v>1</v>
      </c>
      <c r="E14" s="18" t="s">
        <v>155</v>
      </c>
      <c r="F14" s="29" t="n">
        <v>7</v>
      </c>
      <c r="G14" s="29" t="n">
        <v>2</v>
      </c>
      <c r="H14" s="29" t="n">
        <v>9</v>
      </c>
      <c r="I14" s="30" t="n">
        <v>44980</v>
      </c>
      <c r="J14" s="31" t="n">
        <v>0</v>
      </c>
      <c r="K14" s="31" t="n">
        <v>0</v>
      </c>
      <c r="L14" s="31" t="n">
        <f aca="false">+K14+J14</f>
        <v>0</v>
      </c>
    </row>
    <row r="15" s="18" customFormat="true" ht="12.75" hidden="false" customHeight="true" outlineLevel="0" collapsed="false">
      <c r="B15" s="18" t="n">
        <v>10</v>
      </c>
      <c r="C15" s="28" t="n">
        <v>44470</v>
      </c>
      <c r="D15" s="18" t="n">
        <v>0</v>
      </c>
      <c r="E15" s="18" t="s">
        <v>156</v>
      </c>
      <c r="F15" s="29" t="n">
        <v>7</v>
      </c>
      <c r="G15" s="29" t="n">
        <v>3</v>
      </c>
      <c r="H15" s="29" t="n">
        <v>10</v>
      </c>
      <c r="I15" s="30" t="n">
        <v>45010</v>
      </c>
      <c r="J15" s="31" t="n">
        <v>0</v>
      </c>
      <c r="K15" s="31" t="n">
        <v>0</v>
      </c>
      <c r="L15" s="31" t="n">
        <f aca="false">+K15+J15</f>
        <v>0</v>
      </c>
    </row>
    <row r="16" s="18" customFormat="true" ht="12.75" hidden="false" customHeight="true" outlineLevel="0" collapsed="false">
      <c r="B16" s="18" t="n">
        <v>11</v>
      </c>
      <c r="C16" s="28" t="n">
        <v>44501</v>
      </c>
      <c r="D16" s="18" t="n">
        <v>0</v>
      </c>
      <c r="E16" s="18" t="s">
        <v>156</v>
      </c>
      <c r="F16" s="29" t="n">
        <v>7</v>
      </c>
      <c r="G16" s="29" t="n">
        <v>4</v>
      </c>
      <c r="H16" s="29" t="n">
        <v>11</v>
      </c>
      <c r="I16" s="30" t="n">
        <v>45041</v>
      </c>
      <c r="J16" s="31" t="n">
        <v>0</v>
      </c>
      <c r="K16" s="31" t="n">
        <v>0</v>
      </c>
      <c r="L16" s="31" t="n">
        <f aca="false">+K16+J16</f>
        <v>0</v>
      </c>
    </row>
    <row r="17" s="18" customFormat="true" ht="12.75" hidden="false" customHeight="true" outlineLevel="0" collapsed="false">
      <c r="B17" s="18" t="n">
        <v>12</v>
      </c>
      <c r="C17" s="28" t="n">
        <v>44531</v>
      </c>
      <c r="D17" s="18" t="n">
        <v>0</v>
      </c>
      <c r="E17" s="18" t="s">
        <v>156</v>
      </c>
      <c r="F17" s="29" t="n">
        <v>7</v>
      </c>
      <c r="G17" s="29" t="n">
        <v>5</v>
      </c>
      <c r="H17" s="29" t="n">
        <v>12</v>
      </c>
      <c r="I17" s="30" t="n">
        <v>45071</v>
      </c>
      <c r="J17" s="31" t="n">
        <v>0</v>
      </c>
      <c r="K17" s="31" t="n">
        <v>0</v>
      </c>
      <c r="L17" s="31" t="n">
        <f aca="false">+K17+J17</f>
        <v>0</v>
      </c>
    </row>
    <row r="18" s="18" customFormat="true" ht="12.75" hidden="false" customHeight="true" outlineLevel="0" collapsed="false">
      <c r="B18" s="18" t="n">
        <v>13</v>
      </c>
      <c r="C18" s="28" t="n">
        <v>44562</v>
      </c>
      <c r="D18" s="18" t="n">
        <v>1</v>
      </c>
      <c r="E18" s="18" t="s">
        <v>155</v>
      </c>
      <c r="F18" s="29" t="n">
        <v>8</v>
      </c>
      <c r="G18" s="29" t="n">
        <v>5</v>
      </c>
      <c r="H18" s="29" t="n">
        <v>13</v>
      </c>
      <c r="I18" s="30" t="n">
        <v>45102</v>
      </c>
      <c r="J18" s="31" t="n">
        <v>0</v>
      </c>
      <c r="K18" s="31" t="n">
        <v>0</v>
      </c>
      <c r="L18" s="31" t="n">
        <f aca="false">+K18+J18</f>
        <v>0</v>
      </c>
    </row>
    <row r="19" s="18" customFormat="true" ht="12.75" hidden="false" customHeight="true" outlineLevel="0" collapsed="false">
      <c r="B19" s="18" t="n">
        <v>14</v>
      </c>
      <c r="C19" s="28" t="n">
        <v>44593</v>
      </c>
      <c r="D19" s="18" t="n">
        <v>0</v>
      </c>
      <c r="E19" s="18" t="s">
        <v>156</v>
      </c>
      <c r="F19" s="29" t="n">
        <v>8</v>
      </c>
      <c r="G19" s="29" t="n">
        <v>6</v>
      </c>
      <c r="H19" s="29" t="n">
        <v>14</v>
      </c>
      <c r="I19" s="30" t="n">
        <v>45133</v>
      </c>
      <c r="J19" s="31" t="n">
        <v>0</v>
      </c>
      <c r="K19" s="31" t="n">
        <v>0</v>
      </c>
      <c r="L19" s="31" t="n">
        <f aca="false">+K19+J19</f>
        <v>0</v>
      </c>
    </row>
    <row r="20" s="18" customFormat="true" ht="12.75" hidden="false" customHeight="true" outlineLevel="0" collapsed="false">
      <c r="B20" s="18" t="n">
        <v>15</v>
      </c>
      <c r="C20" s="28" t="n">
        <v>44621</v>
      </c>
      <c r="D20" s="18" t="n">
        <v>0</v>
      </c>
      <c r="E20" s="18" t="s">
        <v>156</v>
      </c>
      <c r="F20" s="29" t="n">
        <v>8</v>
      </c>
      <c r="G20" s="29" t="n">
        <v>7</v>
      </c>
      <c r="H20" s="29" t="n">
        <v>15</v>
      </c>
      <c r="I20" s="30" t="n">
        <v>45161</v>
      </c>
      <c r="J20" s="31" t="n">
        <v>0</v>
      </c>
      <c r="K20" s="31" t="n">
        <v>0</v>
      </c>
      <c r="L20" s="31" t="n">
        <f aca="false">+K20+J20</f>
        <v>0</v>
      </c>
    </row>
    <row r="21" s="18" customFormat="true" ht="12.75" hidden="false" customHeight="true" outlineLevel="0" collapsed="false">
      <c r="B21" s="18" t="n">
        <v>16</v>
      </c>
      <c r="C21" s="28" t="n">
        <v>44621</v>
      </c>
      <c r="D21" s="18" t="n">
        <v>1</v>
      </c>
      <c r="E21" s="18" t="s">
        <v>155</v>
      </c>
      <c r="F21" s="29" t="n">
        <v>9</v>
      </c>
      <c r="G21" s="29" t="n">
        <v>7</v>
      </c>
      <c r="H21" s="29" t="n">
        <v>16</v>
      </c>
      <c r="I21" s="30" t="n">
        <v>45161</v>
      </c>
      <c r="J21" s="31" t="n">
        <v>0</v>
      </c>
      <c r="K21" s="31" t="n">
        <v>0</v>
      </c>
      <c r="L21" s="31" t="n">
        <f aca="false">+K21+J21</f>
        <v>0</v>
      </c>
    </row>
    <row r="22" s="18" customFormat="true" ht="12.75" hidden="false" customHeight="true" outlineLevel="0" collapsed="false">
      <c r="B22" s="18" t="n">
        <v>17</v>
      </c>
      <c r="C22" s="28" t="n">
        <v>44652</v>
      </c>
      <c r="D22" s="18" t="n">
        <v>1</v>
      </c>
      <c r="E22" s="18" t="s">
        <v>155</v>
      </c>
      <c r="F22" s="29" t="n">
        <v>10</v>
      </c>
      <c r="G22" s="29" t="n">
        <v>7</v>
      </c>
      <c r="H22" s="29" t="n">
        <v>17</v>
      </c>
      <c r="I22" s="30" t="n">
        <v>45192</v>
      </c>
      <c r="J22" s="31" t="n">
        <v>0</v>
      </c>
      <c r="K22" s="31" t="n">
        <v>0</v>
      </c>
      <c r="L22" s="31" t="n">
        <f aca="false">+K22+J22</f>
        <v>0</v>
      </c>
    </row>
    <row r="23" s="18" customFormat="true" ht="12.75" hidden="false" customHeight="true" outlineLevel="0" collapsed="false">
      <c r="B23" s="18" t="n">
        <v>18</v>
      </c>
      <c r="C23" s="28" t="n">
        <v>44652</v>
      </c>
      <c r="D23" s="18" t="n">
        <v>0</v>
      </c>
      <c r="E23" s="18" t="s">
        <v>156</v>
      </c>
      <c r="F23" s="29" t="n">
        <v>10</v>
      </c>
      <c r="G23" s="29" t="n">
        <v>8</v>
      </c>
      <c r="H23" s="29" t="n">
        <v>18</v>
      </c>
      <c r="I23" s="30" t="n">
        <v>45192</v>
      </c>
      <c r="J23" s="31" t="n">
        <v>0</v>
      </c>
      <c r="K23" s="31" t="n">
        <v>0</v>
      </c>
      <c r="L23" s="31" t="n">
        <f aca="false">+K23+J23</f>
        <v>0</v>
      </c>
    </row>
    <row r="24" s="18" customFormat="true" ht="12.75" hidden="false" customHeight="true" outlineLevel="0" collapsed="false">
      <c r="B24" s="18" t="n">
        <v>19</v>
      </c>
      <c r="C24" s="28" t="n">
        <v>44682</v>
      </c>
      <c r="D24" s="18" t="n">
        <v>1</v>
      </c>
      <c r="E24" s="18" t="s">
        <v>155</v>
      </c>
      <c r="F24" s="29" t="n">
        <v>11</v>
      </c>
      <c r="G24" s="29" t="n">
        <v>8</v>
      </c>
      <c r="H24" s="29" t="n">
        <v>19</v>
      </c>
      <c r="I24" s="30" t="n">
        <v>45222</v>
      </c>
      <c r="J24" s="31" t="n">
        <v>0</v>
      </c>
      <c r="K24" s="31" t="n">
        <v>0</v>
      </c>
      <c r="L24" s="31" t="n">
        <f aca="false">+K24+J24</f>
        <v>0</v>
      </c>
    </row>
    <row r="25" s="18" customFormat="true" ht="12.75" hidden="false" customHeight="true" outlineLevel="0" collapsed="false">
      <c r="B25" s="18" t="n">
        <v>20</v>
      </c>
      <c r="C25" s="28" t="n">
        <v>44682</v>
      </c>
      <c r="D25" s="18" t="n">
        <v>1</v>
      </c>
      <c r="E25" s="18" t="s">
        <v>155</v>
      </c>
      <c r="F25" s="29" t="n">
        <v>12</v>
      </c>
      <c r="G25" s="29" t="n">
        <v>8</v>
      </c>
      <c r="H25" s="29" t="n">
        <v>20</v>
      </c>
      <c r="I25" s="30" t="n">
        <v>45222</v>
      </c>
      <c r="J25" s="31" t="n">
        <v>0</v>
      </c>
      <c r="K25" s="31" t="n">
        <v>0</v>
      </c>
      <c r="L25" s="31" t="n">
        <f aca="false">+K25+J25</f>
        <v>0</v>
      </c>
    </row>
    <row r="26" s="18" customFormat="true" ht="12.75" hidden="false" customHeight="true" outlineLevel="0" collapsed="false">
      <c r="B26" s="18" t="n">
        <v>21</v>
      </c>
      <c r="C26" s="28" t="n">
        <v>44682</v>
      </c>
      <c r="D26" s="18" t="n">
        <v>1</v>
      </c>
      <c r="E26" s="18" t="s">
        <v>155</v>
      </c>
      <c r="F26" s="29" t="n">
        <v>13</v>
      </c>
      <c r="G26" s="29" t="n">
        <v>8</v>
      </c>
      <c r="H26" s="29" t="n">
        <v>21</v>
      </c>
      <c r="I26" s="30" t="n">
        <v>45222</v>
      </c>
      <c r="J26" s="31" t="n">
        <v>0</v>
      </c>
      <c r="K26" s="31" t="n">
        <v>0</v>
      </c>
      <c r="L26" s="31" t="n">
        <f aca="false">+K26+J26</f>
        <v>0</v>
      </c>
    </row>
    <row r="27" s="18" customFormat="true" ht="12.75" hidden="false" customHeight="true" outlineLevel="0" collapsed="false">
      <c r="B27" s="18" t="n">
        <v>22</v>
      </c>
      <c r="C27" s="28" t="n">
        <v>44713</v>
      </c>
      <c r="D27" s="18" t="n">
        <v>1</v>
      </c>
      <c r="E27" s="18" t="s">
        <v>155</v>
      </c>
      <c r="F27" s="29" t="n">
        <v>14</v>
      </c>
      <c r="G27" s="29" t="n">
        <v>8</v>
      </c>
      <c r="H27" s="29" t="n">
        <v>22</v>
      </c>
      <c r="I27" s="30" t="n">
        <v>45253</v>
      </c>
      <c r="J27" s="31" t="n">
        <v>0</v>
      </c>
      <c r="K27" s="31" t="n">
        <v>0</v>
      </c>
      <c r="L27" s="31" t="n">
        <f aca="false">+K27+J27</f>
        <v>0</v>
      </c>
    </row>
    <row r="28" s="18" customFormat="true" ht="12.75" hidden="false" customHeight="true" outlineLevel="0" collapsed="false">
      <c r="B28" s="18" t="n">
        <v>23</v>
      </c>
      <c r="C28" s="28" t="n">
        <v>44713</v>
      </c>
      <c r="D28" s="18" t="n">
        <v>0</v>
      </c>
      <c r="E28" s="18" t="s">
        <v>156</v>
      </c>
      <c r="F28" s="29" t="n">
        <v>14</v>
      </c>
      <c r="G28" s="29" t="n">
        <v>9</v>
      </c>
      <c r="H28" s="29" t="n">
        <v>23</v>
      </c>
      <c r="I28" s="30" t="n">
        <v>45253</v>
      </c>
      <c r="J28" s="31" t="n">
        <v>0</v>
      </c>
      <c r="K28" s="31" t="n">
        <v>0</v>
      </c>
      <c r="L28" s="31" t="n">
        <f aca="false">+K28+J28</f>
        <v>0</v>
      </c>
    </row>
    <row r="29" s="18" customFormat="true" ht="12.75" hidden="false" customHeight="true" outlineLevel="0" collapsed="false">
      <c r="B29" s="18" t="n">
        <v>24</v>
      </c>
      <c r="C29" s="28" t="n">
        <v>44713</v>
      </c>
      <c r="D29" s="18" t="n">
        <v>1</v>
      </c>
      <c r="E29" s="18" t="s">
        <v>155</v>
      </c>
      <c r="F29" s="29" t="n">
        <v>15</v>
      </c>
      <c r="G29" s="29" t="n">
        <v>9</v>
      </c>
      <c r="H29" s="29" t="n">
        <v>24</v>
      </c>
      <c r="I29" s="30" t="n">
        <v>45253</v>
      </c>
      <c r="J29" s="31" t="n">
        <v>1</v>
      </c>
      <c r="K29" s="31" t="n">
        <v>0</v>
      </c>
      <c r="L29" s="31" t="n">
        <f aca="false">+K29+J29</f>
        <v>1</v>
      </c>
    </row>
    <row r="30" s="18" customFormat="true" ht="12.75" hidden="false" customHeight="true" outlineLevel="0" collapsed="false">
      <c r="B30" s="18" t="n">
        <v>25</v>
      </c>
      <c r="C30" s="28" t="n">
        <v>44743</v>
      </c>
      <c r="D30" s="18" t="n">
        <v>0</v>
      </c>
      <c r="E30" s="18" t="s">
        <v>156</v>
      </c>
      <c r="F30" s="29" t="n">
        <v>15</v>
      </c>
      <c r="G30" s="29" t="n">
        <v>10</v>
      </c>
      <c r="H30" s="29" t="n">
        <v>25</v>
      </c>
      <c r="I30" s="30" t="n">
        <v>45283</v>
      </c>
      <c r="J30" s="31" t="n">
        <v>1</v>
      </c>
      <c r="K30" s="31" t="n">
        <v>0</v>
      </c>
      <c r="L30" s="31" t="n">
        <f aca="false">+K30+J30</f>
        <v>1</v>
      </c>
    </row>
    <row r="31" s="18" customFormat="true" ht="12.75" hidden="false" customHeight="true" outlineLevel="0" collapsed="false">
      <c r="B31" s="18" t="n">
        <v>26</v>
      </c>
      <c r="C31" s="28" t="n">
        <v>44743</v>
      </c>
      <c r="D31" s="18" t="n">
        <v>0</v>
      </c>
      <c r="E31" s="18" t="s">
        <v>156</v>
      </c>
      <c r="F31" s="29" t="n">
        <v>15</v>
      </c>
      <c r="G31" s="29" t="n">
        <v>11</v>
      </c>
      <c r="H31" s="29" t="n">
        <v>26</v>
      </c>
      <c r="I31" s="30" t="n">
        <v>45283</v>
      </c>
      <c r="J31" s="31" t="n">
        <v>2</v>
      </c>
      <c r="K31" s="31" t="n">
        <v>0</v>
      </c>
      <c r="L31" s="31" t="n">
        <f aca="false">+K31+J31</f>
        <v>2</v>
      </c>
    </row>
    <row r="32" s="18" customFormat="true" ht="12.75" hidden="false" customHeight="true" outlineLevel="0" collapsed="false">
      <c r="B32" s="18" t="n">
        <v>27</v>
      </c>
      <c r="C32" s="28" t="n">
        <v>44743</v>
      </c>
      <c r="D32" s="18" t="n">
        <v>1</v>
      </c>
      <c r="E32" s="18" t="s">
        <v>155</v>
      </c>
      <c r="F32" s="29" t="n">
        <v>16</v>
      </c>
      <c r="G32" s="29" t="n">
        <v>11</v>
      </c>
      <c r="H32" s="29" t="n">
        <v>27</v>
      </c>
      <c r="I32" s="30" t="n">
        <v>45283</v>
      </c>
      <c r="J32" s="31" t="n">
        <v>2</v>
      </c>
      <c r="K32" s="31" t="n">
        <v>0</v>
      </c>
      <c r="L32" s="31" t="n">
        <f aca="false">+K32+J32</f>
        <v>2</v>
      </c>
    </row>
    <row r="33" s="18" customFormat="true" ht="12.75" hidden="false" customHeight="true" outlineLevel="0" collapsed="false">
      <c r="B33" s="18" t="n">
        <v>28</v>
      </c>
      <c r="C33" s="28" t="n">
        <v>44774</v>
      </c>
      <c r="D33" s="18" t="n">
        <v>0</v>
      </c>
      <c r="E33" s="18" t="s">
        <v>156</v>
      </c>
      <c r="F33" s="29" t="n">
        <v>16</v>
      </c>
      <c r="G33" s="29" t="n">
        <v>12</v>
      </c>
      <c r="H33" s="29" t="n">
        <v>28</v>
      </c>
      <c r="I33" s="30" t="n">
        <v>45314</v>
      </c>
      <c r="J33" s="31" t="n">
        <v>2</v>
      </c>
      <c r="K33" s="31" t="n">
        <v>0</v>
      </c>
      <c r="L33" s="31" t="n">
        <f aca="false">+K33+J33</f>
        <v>2</v>
      </c>
    </row>
    <row r="34" s="18" customFormat="true" ht="12.75" hidden="false" customHeight="true" outlineLevel="0" collapsed="false">
      <c r="B34" s="18" t="n">
        <v>29</v>
      </c>
      <c r="C34" s="28" t="n">
        <v>44774</v>
      </c>
      <c r="D34" s="18" t="n">
        <v>1</v>
      </c>
      <c r="E34" s="18" t="s">
        <v>155</v>
      </c>
      <c r="F34" s="29" t="n">
        <v>17</v>
      </c>
      <c r="G34" s="29" t="n">
        <v>12</v>
      </c>
      <c r="H34" s="29" t="n">
        <v>29</v>
      </c>
      <c r="I34" s="30" t="n">
        <v>45314</v>
      </c>
      <c r="J34" s="31" t="n">
        <v>2</v>
      </c>
      <c r="K34" s="31" t="n">
        <v>1</v>
      </c>
      <c r="L34" s="31" t="n">
        <f aca="false">+K34+J34</f>
        <v>3</v>
      </c>
    </row>
    <row r="35" s="18" customFormat="true" ht="12.75" hidden="false" customHeight="true" outlineLevel="0" collapsed="false">
      <c r="B35" s="18" t="n">
        <v>30</v>
      </c>
      <c r="C35" s="28" t="n">
        <v>44774</v>
      </c>
      <c r="D35" s="18" t="n">
        <v>0</v>
      </c>
      <c r="E35" s="18" t="s">
        <v>156</v>
      </c>
      <c r="F35" s="29" t="n">
        <v>17</v>
      </c>
      <c r="G35" s="29" t="n">
        <v>13</v>
      </c>
      <c r="H35" s="29" t="n">
        <v>30</v>
      </c>
      <c r="I35" s="30" t="n">
        <v>45314</v>
      </c>
      <c r="J35" s="31" t="n">
        <v>2</v>
      </c>
      <c r="K35" s="31" t="n">
        <v>1</v>
      </c>
      <c r="L35" s="31" t="n">
        <f aca="false">+K35+J35</f>
        <v>3</v>
      </c>
    </row>
    <row r="36" s="18" customFormat="true" ht="12.75" hidden="false" customHeight="true" outlineLevel="0" collapsed="false">
      <c r="B36" s="18" t="n">
        <v>31</v>
      </c>
      <c r="C36" s="28" t="n">
        <v>44805</v>
      </c>
      <c r="D36" s="18" t="n">
        <v>0</v>
      </c>
      <c r="E36" s="18" t="s">
        <v>156</v>
      </c>
      <c r="F36" s="29" t="n">
        <v>17</v>
      </c>
      <c r="G36" s="29" t="n">
        <v>14</v>
      </c>
      <c r="H36" s="29" t="n">
        <v>31</v>
      </c>
      <c r="I36" s="30" t="n">
        <v>45345</v>
      </c>
      <c r="J36" s="31" t="n">
        <v>3</v>
      </c>
      <c r="K36" s="31" t="n">
        <v>1</v>
      </c>
      <c r="L36" s="31" t="n">
        <f aca="false">+K36+J36</f>
        <v>4</v>
      </c>
    </row>
    <row r="37" s="18" customFormat="true" ht="12.75" hidden="false" customHeight="true" outlineLevel="0" collapsed="false">
      <c r="B37" s="18" t="n">
        <v>32</v>
      </c>
      <c r="C37" s="28" t="n">
        <v>44805</v>
      </c>
      <c r="D37" s="18" t="n">
        <v>1</v>
      </c>
      <c r="E37" s="18" t="s">
        <v>155</v>
      </c>
      <c r="F37" s="29" t="n">
        <v>18</v>
      </c>
      <c r="G37" s="29" t="n">
        <v>14</v>
      </c>
      <c r="H37" s="29" t="n">
        <v>32</v>
      </c>
      <c r="I37" s="30" t="n">
        <v>45345</v>
      </c>
      <c r="J37" s="31" t="n">
        <v>3</v>
      </c>
      <c r="K37" s="31" t="n">
        <v>1</v>
      </c>
      <c r="L37" s="31" t="n">
        <f aca="false">+K37+J37</f>
        <v>4</v>
      </c>
    </row>
    <row r="38" s="18" customFormat="true" ht="12.75" hidden="false" customHeight="true" outlineLevel="0" collapsed="false">
      <c r="B38" s="18" t="n">
        <v>33</v>
      </c>
      <c r="C38" s="28" t="n">
        <v>44805</v>
      </c>
      <c r="D38" s="18" t="n">
        <v>1</v>
      </c>
      <c r="E38" s="18" t="s">
        <v>155</v>
      </c>
      <c r="F38" s="29" t="n">
        <v>19</v>
      </c>
      <c r="G38" s="29" t="n">
        <v>14</v>
      </c>
      <c r="H38" s="29" t="n">
        <v>33</v>
      </c>
      <c r="I38" s="30" t="n">
        <v>45345</v>
      </c>
      <c r="J38" s="31" t="n">
        <v>3</v>
      </c>
      <c r="K38" s="31" t="n">
        <v>1</v>
      </c>
      <c r="L38" s="31" t="n">
        <f aca="false">+K38+J38</f>
        <v>4</v>
      </c>
    </row>
    <row r="39" s="18" customFormat="true" ht="12.75" hidden="false" customHeight="true" outlineLevel="0" collapsed="false">
      <c r="B39" s="18" t="n">
        <v>34</v>
      </c>
      <c r="C39" s="28" t="n">
        <v>44805</v>
      </c>
      <c r="D39" s="18" t="n">
        <v>0</v>
      </c>
      <c r="E39" s="18" t="s">
        <v>156</v>
      </c>
      <c r="F39" s="29" t="n">
        <v>19</v>
      </c>
      <c r="G39" s="29" t="n">
        <v>15</v>
      </c>
      <c r="H39" s="29" t="n">
        <v>34</v>
      </c>
      <c r="I39" s="30" t="n">
        <v>45345</v>
      </c>
      <c r="J39" s="31" t="n">
        <v>3</v>
      </c>
      <c r="K39" s="31" t="n">
        <v>1</v>
      </c>
      <c r="L39" s="31" t="n">
        <f aca="false">+K39+J39</f>
        <v>4</v>
      </c>
    </row>
    <row r="40" s="18" customFormat="true" ht="12.75" hidden="false" customHeight="true" outlineLevel="0" collapsed="false">
      <c r="B40" s="18" t="n">
        <v>35</v>
      </c>
      <c r="C40" s="28" t="n">
        <v>44835</v>
      </c>
      <c r="D40" s="18" t="n">
        <v>1</v>
      </c>
      <c r="E40" s="18" t="s">
        <v>155</v>
      </c>
      <c r="F40" s="29" t="n">
        <v>20</v>
      </c>
      <c r="G40" s="29" t="n">
        <v>15</v>
      </c>
      <c r="H40" s="29" t="n">
        <v>35</v>
      </c>
      <c r="I40" s="30" t="n">
        <v>45375</v>
      </c>
      <c r="J40" s="31" t="n">
        <v>4</v>
      </c>
      <c r="K40" s="31" t="n">
        <v>1</v>
      </c>
      <c r="L40" s="31" t="n">
        <f aca="false">+K40+J40</f>
        <v>5</v>
      </c>
    </row>
    <row r="41" s="18" customFormat="true" ht="12.75" hidden="false" customHeight="true" outlineLevel="0" collapsed="false">
      <c r="B41" s="18" t="n">
        <v>36</v>
      </c>
      <c r="C41" s="28" t="n">
        <v>44835</v>
      </c>
      <c r="D41" s="18" t="n">
        <v>1</v>
      </c>
      <c r="E41" s="18" t="s">
        <v>155</v>
      </c>
      <c r="F41" s="29" t="n">
        <v>21</v>
      </c>
      <c r="G41" s="29" t="n">
        <v>15</v>
      </c>
      <c r="H41" s="29" t="n">
        <v>36</v>
      </c>
      <c r="I41" s="30" t="n">
        <v>45375</v>
      </c>
      <c r="J41" s="31" t="n">
        <v>4</v>
      </c>
      <c r="K41" s="31" t="n">
        <v>1</v>
      </c>
      <c r="L41" s="31" t="n">
        <f aca="false">+K41+J41</f>
        <v>5</v>
      </c>
    </row>
    <row r="42" s="18" customFormat="true" ht="12.75" hidden="false" customHeight="true" outlineLevel="0" collapsed="false">
      <c r="B42" s="18" t="n">
        <v>37</v>
      </c>
      <c r="C42" s="28" t="n">
        <v>44835</v>
      </c>
      <c r="D42" s="18" t="n">
        <v>1</v>
      </c>
      <c r="E42" s="18" t="s">
        <v>155</v>
      </c>
      <c r="F42" s="29" t="n">
        <v>22</v>
      </c>
      <c r="G42" s="29" t="n">
        <v>15</v>
      </c>
      <c r="H42" s="29" t="n">
        <v>37</v>
      </c>
      <c r="I42" s="30" t="n">
        <v>45375</v>
      </c>
      <c r="J42" s="31" t="n">
        <v>4</v>
      </c>
      <c r="K42" s="31" t="n">
        <v>1</v>
      </c>
      <c r="L42" s="31" t="n">
        <f aca="false">+K42+J42</f>
        <v>5</v>
      </c>
    </row>
    <row r="43" s="18" customFormat="true" ht="12.75" hidden="false" customHeight="true" outlineLevel="0" collapsed="false">
      <c r="B43" s="18" t="n">
        <v>38</v>
      </c>
      <c r="C43" s="28" t="n">
        <v>44835</v>
      </c>
      <c r="D43" s="18" t="n">
        <v>0</v>
      </c>
      <c r="E43" s="18" t="s">
        <v>156</v>
      </c>
      <c r="F43" s="29" t="n">
        <v>22</v>
      </c>
      <c r="G43" s="29" t="n">
        <v>16</v>
      </c>
      <c r="H43" s="29" t="n">
        <v>38</v>
      </c>
      <c r="I43" s="30" t="n">
        <v>45375</v>
      </c>
      <c r="J43" s="31" t="n">
        <v>4</v>
      </c>
      <c r="K43" s="31" t="n">
        <v>1</v>
      </c>
      <c r="L43" s="31" t="n">
        <f aca="false">+K43+J43</f>
        <v>5</v>
      </c>
    </row>
    <row r="44" s="18" customFormat="true" ht="12.75" hidden="false" customHeight="true" outlineLevel="0" collapsed="false">
      <c r="B44" s="18" t="n">
        <v>39</v>
      </c>
      <c r="C44" s="28" t="n">
        <v>44866</v>
      </c>
      <c r="D44" s="18" t="n">
        <v>1</v>
      </c>
      <c r="E44" s="18" t="s">
        <v>155</v>
      </c>
      <c r="F44" s="29" t="n">
        <v>23</v>
      </c>
      <c r="G44" s="29" t="n">
        <v>16</v>
      </c>
      <c r="H44" s="29" t="n">
        <v>39</v>
      </c>
      <c r="I44" s="30" t="n">
        <v>45406</v>
      </c>
      <c r="J44" s="31" t="n">
        <v>4</v>
      </c>
      <c r="K44" s="31" t="n">
        <v>2</v>
      </c>
      <c r="L44" s="31" t="n">
        <f aca="false">+K44+J44</f>
        <v>6</v>
      </c>
    </row>
    <row r="45" s="18" customFormat="true" ht="12.75" hidden="false" customHeight="true" outlineLevel="0" collapsed="false">
      <c r="B45" s="18" t="n">
        <v>40</v>
      </c>
      <c r="C45" s="28" t="n">
        <v>44866</v>
      </c>
      <c r="D45" s="18" t="n">
        <v>0</v>
      </c>
      <c r="E45" s="18" t="s">
        <v>156</v>
      </c>
      <c r="F45" s="29" t="n">
        <v>23</v>
      </c>
      <c r="G45" s="29" t="n">
        <v>17</v>
      </c>
      <c r="H45" s="29" t="n">
        <v>40</v>
      </c>
      <c r="I45" s="30" t="n">
        <v>45406</v>
      </c>
      <c r="J45" s="31" t="n">
        <v>4</v>
      </c>
      <c r="K45" s="31" t="n">
        <v>2</v>
      </c>
      <c r="L45" s="31" t="n">
        <f aca="false">+K45+J45</f>
        <v>6</v>
      </c>
    </row>
    <row r="46" s="18" customFormat="true" ht="12.75" hidden="false" customHeight="true" outlineLevel="0" collapsed="false">
      <c r="B46" s="18" t="n">
        <v>41</v>
      </c>
      <c r="C46" s="28" t="n">
        <v>44866</v>
      </c>
      <c r="D46" s="18" t="n">
        <v>0</v>
      </c>
      <c r="E46" s="18" t="s">
        <v>156</v>
      </c>
      <c r="F46" s="29" t="n">
        <v>23</v>
      </c>
      <c r="G46" s="29" t="n">
        <v>18</v>
      </c>
      <c r="H46" s="29" t="n">
        <v>41</v>
      </c>
      <c r="I46" s="30" t="n">
        <v>45406</v>
      </c>
      <c r="J46" s="31" t="n">
        <v>4</v>
      </c>
      <c r="K46" s="31" t="n">
        <v>2</v>
      </c>
      <c r="L46" s="31" t="n">
        <f aca="false">+K46+J46</f>
        <v>6</v>
      </c>
    </row>
    <row r="47" s="18" customFormat="true" ht="12.75" hidden="false" customHeight="true" outlineLevel="0" collapsed="false">
      <c r="B47" s="18" t="n">
        <v>42</v>
      </c>
      <c r="C47" s="28" t="n">
        <v>44866</v>
      </c>
      <c r="D47" s="18" t="n">
        <v>0</v>
      </c>
      <c r="E47" s="18" t="s">
        <v>156</v>
      </c>
      <c r="F47" s="29" t="n">
        <v>23</v>
      </c>
      <c r="G47" s="29" t="n">
        <v>19</v>
      </c>
      <c r="H47" s="29" t="n">
        <v>42</v>
      </c>
      <c r="I47" s="30" t="n">
        <v>45406</v>
      </c>
      <c r="J47" s="31" t="n">
        <v>4</v>
      </c>
      <c r="K47" s="31" t="n">
        <v>2</v>
      </c>
      <c r="L47" s="31" t="n">
        <f aca="false">+K47+J47</f>
        <v>6</v>
      </c>
    </row>
    <row r="48" s="18" customFormat="true" ht="12.75" hidden="false" customHeight="true" outlineLevel="0" collapsed="false">
      <c r="B48" s="18" t="n">
        <v>43</v>
      </c>
      <c r="C48" s="28" t="n">
        <v>44866</v>
      </c>
      <c r="D48" s="18" t="n">
        <v>0</v>
      </c>
      <c r="E48" s="18" t="s">
        <v>156</v>
      </c>
      <c r="F48" s="29" t="n">
        <v>23</v>
      </c>
      <c r="G48" s="29" t="n">
        <v>20</v>
      </c>
      <c r="H48" s="29" t="n">
        <v>43</v>
      </c>
      <c r="I48" s="30" t="n">
        <v>45406</v>
      </c>
      <c r="J48" s="31" t="n">
        <v>4</v>
      </c>
      <c r="K48" s="31" t="n">
        <v>2</v>
      </c>
      <c r="L48" s="31" t="n">
        <f aca="false">+K48+J48</f>
        <v>6</v>
      </c>
    </row>
    <row r="49" s="18" customFormat="true" ht="12.75" hidden="false" customHeight="true" outlineLevel="0" collapsed="false">
      <c r="B49" s="18" t="n">
        <v>44</v>
      </c>
      <c r="C49" s="28" t="n">
        <v>44896</v>
      </c>
      <c r="D49" s="18" t="n">
        <v>0</v>
      </c>
      <c r="E49" s="18" t="s">
        <v>156</v>
      </c>
      <c r="F49" s="29" t="n">
        <v>23</v>
      </c>
      <c r="G49" s="29" t="n">
        <v>21</v>
      </c>
      <c r="H49" s="29" t="n">
        <v>44</v>
      </c>
      <c r="I49" s="30" t="n">
        <v>45436</v>
      </c>
      <c r="J49" s="31" t="n">
        <v>5</v>
      </c>
      <c r="K49" s="31" t="n">
        <v>2</v>
      </c>
      <c r="L49" s="31" t="n">
        <f aca="false">+K49+J49</f>
        <v>7</v>
      </c>
    </row>
    <row r="50" s="18" customFormat="true" ht="12.75" hidden="false" customHeight="true" outlineLevel="0" collapsed="false">
      <c r="B50" s="18" t="n">
        <v>45</v>
      </c>
      <c r="C50" s="28" t="n">
        <v>44896</v>
      </c>
      <c r="D50" s="18" t="n">
        <v>0</v>
      </c>
      <c r="E50" s="18" t="s">
        <v>156</v>
      </c>
      <c r="F50" s="29" t="n">
        <v>23</v>
      </c>
      <c r="G50" s="29" t="n">
        <v>22</v>
      </c>
      <c r="H50" s="29" t="n">
        <v>45</v>
      </c>
      <c r="I50" s="30" t="n">
        <v>45436</v>
      </c>
      <c r="J50" s="31" t="n">
        <v>5</v>
      </c>
      <c r="K50" s="31" t="n">
        <v>2</v>
      </c>
      <c r="L50" s="31" t="n">
        <f aca="false">+K50+J50</f>
        <v>7</v>
      </c>
    </row>
    <row r="51" s="18" customFormat="true" ht="12.75" hidden="false" customHeight="true" outlineLevel="0" collapsed="false">
      <c r="B51" s="18" t="n">
        <v>46</v>
      </c>
      <c r="C51" s="28" t="n">
        <v>44896</v>
      </c>
      <c r="D51" s="18" t="n">
        <v>0</v>
      </c>
      <c r="E51" s="18" t="s">
        <v>156</v>
      </c>
      <c r="F51" s="29" t="n">
        <v>23</v>
      </c>
      <c r="G51" s="29" t="n">
        <v>23</v>
      </c>
      <c r="H51" s="29" t="n">
        <v>46</v>
      </c>
      <c r="I51" s="30" t="n">
        <v>45436</v>
      </c>
      <c r="J51" s="31" t="n">
        <v>5</v>
      </c>
      <c r="K51" s="31" t="n">
        <v>2</v>
      </c>
      <c r="L51" s="31" t="n">
        <f aca="false">+K51+J51</f>
        <v>7</v>
      </c>
    </row>
    <row r="52" s="18" customFormat="true" ht="12.75" hidden="false" customHeight="true" outlineLevel="0" collapsed="false">
      <c r="B52" s="18" t="n">
        <v>47</v>
      </c>
      <c r="C52" s="28" t="n">
        <v>44896</v>
      </c>
      <c r="D52" s="18" t="n">
        <v>1</v>
      </c>
      <c r="E52" s="18" t="s">
        <v>155</v>
      </c>
      <c r="F52" s="29" t="n">
        <v>24</v>
      </c>
      <c r="G52" s="29" t="n">
        <v>23</v>
      </c>
      <c r="H52" s="29" t="n">
        <v>47</v>
      </c>
      <c r="I52" s="30" t="n">
        <v>45436</v>
      </c>
      <c r="J52" s="31" t="n">
        <v>5</v>
      </c>
      <c r="K52" s="31" t="n">
        <v>2</v>
      </c>
      <c r="L52" s="31" t="n">
        <f aca="false">+K52+J52</f>
        <v>7</v>
      </c>
    </row>
    <row r="53" s="18" customFormat="true" ht="12.75" hidden="false" customHeight="true" outlineLevel="0" collapsed="false">
      <c r="B53" s="18" t="n">
        <v>48</v>
      </c>
      <c r="C53" s="28" t="n">
        <v>44896</v>
      </c>
      <c r="D53" s="18" t="n">
        <v>0</v>
      </c>
      <c r="E53" s="18" t="s">
        <v>156</v>
      </c>
      <c r="F53" s="29" t="n">
        <v>24</v>
      </c>
      <c r="G53" s="29" t="n">
        <v>24</v>
      </c>
      <c r="H53" s="29" t="n">
        <v>48</v>
      </c>
      <c r="I53" s="30" t="n">
        <v>45436</v>
      </c>
      <c r="J53" s="31" t="n">
        <v>5</v>
      </c>
      <c r="K53" s="31" t="n">
        <v>2</v>
      </c>
      <c r="L53" s="31" t="n">
        <f aca="false">+K53+J53</f>
        <v>7</v>
      </c>
    </row>
    <row r="54" s="18" customFormat="true" ht="12.75" hidden="false" customHeight="true" outlineLevel="0" collapsed="false">
      <c r="B54" s="18" t="n">
        <v>49</v>
      </c>
      <c r="C54" s="28" t="n">
        <v>44927</v>
      </c>
      <c r="D54" s="18" t="n">
        <v>1</v>
      </c>
      <c r="E54" s="18" t="s">
        <v>155</v>
      </c>
      <c r="F54" s="29" t="n">
        <v>25</v>
      </c>
      <c r="G54" s="29" t="n">
        <v>24</v>
      </c>
      <c r="H54" s="29" t="n">
        <v>49</v>
      </c>
      <c r="I54" s="30" t="n">
        <v>45467</v>
      </c>
      <c r="J54" s="31" t="n">
        <v>6</v>
      </c>
      <c r="K54" s="31" t="n">
        <v>2</v>
      </c>
      <c r="L54" s="31" t="n">
        <f aca="false">+K54+J54</f>
        <v>8</v>
      </c>
    </row>
    <row r="55" s="18" customFormat="true" ht="12.75" hidden="false" customHeight="true" outlineLevel="0" collapsed="false">
      <c r="B55" s="18" t="n">
        <v>50</v>
      </c>
      <c r="C55" s="28" t="n">
        <v>44927</v>
      </c>
      <c r="D55" s="18" t="n">
        <v>1</v>
      </c>
      <c r="E55" s="18" t="s">
        <v>155</v>
      </c>
      <c r="F55" s="29" t="n">
        <v>26</v>
      </c>
      <c r="G55" s="29" t="n">
        <v>24</v>
      </c>
      <c r="H55" s="29" t="n">
        <v>50</v>
      </c>
      <c r="I55" s="30" t="n">
        <v>45467</v>
      </c>
      <c r="J55" s="31" t="n">
        <v>6</v>
      </c>
      <c r="K55" s="31" t="n">
        <v>2</v>
      </c>
      <c r="L55" s="31" t="n">
        <f aca="false">+K55+J55</f>
        <v>8</v>
      </c>
    </row>
    <row r="56" s="18" customFormat="true" ht="12.75" hidden="false" customHeight="true" outlineLevel="0" collapsed="false">
      <c r="B56" s="18" t="n">
        <v>51</v>
      </c>
      <c r="C56" s="28" t="n">
        <v>44927</v>
      </c>
      <c r="D56" s="18" t="n">
        <v>0</v>
      </c>
      <c r="E56" s="18" t="s">
        <v>156</v>
      </c>
      <c r="F56" s="29" t="n">
        <v>26</v>
      </c>
      <c r="G56" s="29" t="n">
        <v>25</v>
      </c>
      <c r="H56" s="29" t="n">
        <v>51</v>
      </c>
      <c r="I56" s="30" t="n">
        <v>45467</v>
      </c>
      <c r="J56" s="31" t="n">
        <v>6</v>
      </c>
      <c r="K56" s="31" t="n">
        <v>2</v>
      </c>
      <c r="L56" s="31" t="n">
        <f aca="false">+K56+J56</f>
        <v>8</v>
      </c>
    </row>
    <row r="57" s="18" customFormat="true" ht="12.75" hidden="false" customHeight="true" outlineLevel="0" collapsed="false">
      <c r="B57" s="18" t="n">
        <v>52</v>
      </c>
      <c r="C57" s="28" t="n">
        <v>44927</v>
      </c>
      <c r="D57" s="18" t="n">
        <v>1</v>
      </c>
      <c r="E57" s="18" t="s">
        <v>155</v>
      </c>
      <c r="F57" s="29" t="n">
        <v>27</v>
      </c>
      <c r="G57" s="29" t="n">
        <v>25</v>
      </c>
      <c r="H57" s="29" t="n">
        <v>52</v>
      </c>
      <c r="I57" s="30" t="n">
        <v>45467</v>
      </c>
      <c r="J57" s="31" t="n">
        <v>6</v>
      </c>
      <c r="K57" s="31" t="n">
        <v>2</v>
      </c>
      <c r="L57" s="31" t="n">
        <f aca="false">+K57+J57</f>
        <v>8</v>
      </c>
    </row>
    <row r="58" s="18" customFormat="true" ht="12.75" hidden="false" customHeight="true" outlineLevel="0" collapsed="false">
      <c r="B58" s="18" t="n">
        <v>53</v>
      </c>
      <c r="C58" s="28" t="n">
        <v>44927</v>
      </c>
      <c r="D58" s="18" t="n">
        <v>0</v>
      </c>
      <c r="E58" s="18" t="s">
        <v>156</v>
      </c>
      <c r="F58" s="29" t="n">
        <v>27</v>
      </c>
      <c r="G58" s="29" t="n">
        <v>26</v>
      </c>
      <c r="H58" s="29" t="n">
        <v>53</v>
      </c>
      <c r="I58" s="30" t="n">
        <v>45467</v>
      </c>
      <c r="J58" s="31" t="n">
        <v>6</v>
      </c>
      <c r="K58" s="31" t="n">
        <v>2</v>
      </c>
      <c r="L58" s="31" t="n">
        <f aca="false">+K58+J58</f>
        <v>8</v>
      </c>
    </row>
    <row r="59" s="18" customFormat="true" ht="12.75" hidden="false" customHeight="true" outlineLevel="0" collapsed="false">
      <c r="B59" s="18" t="n">
        <v>54</v>
      </c>
      <c r="C59" s="28" t="n">
        <v>44958</v>
      </c>
      <c r="D59" s="18" t="n">
        <v>0</v>
      </c>
      <c r="E59" s="18" t="s">
        <v>156</v>
      </c>
      <c r="F59" s="29" t="n">
        <v>27</v>
      </c>
      <c r="G59" s="29" t="n">
        <v>27</v>
      </c>
      <c r="H59" s="29" t="n">
        <v>54</v>
      </c>
      <c r="I59" s="30" t="n">
        <v>45498</v>
      </c>
      <c r="J59" s="31" t="n">
        <v>7</v>
      </c>
      <c r="K59" s="31" t="n">
        <v>2</v>
      </c>
      <c r="L59" s="31" t="n">
        <f aca="false">+K59+J59</f>
        <v>9</v>
      </c>
    </row>
    <row r="60" s="18" customFormat="true" ht="12.75" hidden="false" customHeight="true" outlineLevel="0" collapsed="false">
      <c r="B60" s="18" t="n">
        <v>55</v>
      </c>
      <c r="C60" s="28" t="n">
        <v>44958</v>
      </c>
      <c r="D60" s="18" t="n">
        <v>0</v>
      </c>
      <c r="E60" s="18" t="s">
        <v>156</v>
      </c>
      <c r="F60" s="29" t="n">
        <v>27</v>
      </c>
      <c r="G60" s="29" t="n">
        <v>28</v>
      </c>
      <c r="H60" s="29" t="n">
        <v>55</v>
      </c>
      <c r="I60" s="30" t="n">
        <v>45498</v>
      </c>
      <c r="J60" s="31" t="n">
        <v>7</v>
      </c>
      <c r="K60" s="31" t="n">
        <v>2</v>
      </c>
      <c r="L60" s="31" t="n">
        <f aca="false">+K60+J60</f>
        <v>9</v>
      </c>
    </row>
    <row r="61" s="18" customFormat="true" ht="12.75" hidden="false" customHeight="true" outlineLevel="0" collapsed="false">
      <c r="B61" s="18" t="n">
        <v>56</v>
      </c>
      <c r="C61" s="28" t="n">
        <v>44958</v>
      </c>
      <c r="D61" s="18" t="n">
        <v>0</v>
      </c>
      <c r="E61" s="18" t="s">
        <v>156</v>
      </c>
      <c r="F61" s="29" t="n">
        <v>27</v>
      </c>
      <c r="G61" s="29" t="n">
        <v>29</v>
      </c>
      <c r="H61" s="29" t="n">
        <v>56</v>
      </c>
      <c r="I61" s="30" t="n">
        <v>45498</v>
      </c>
      <c r="J61" s="31" t="n">
        <v>7</v>
      </c>
      <c r="K61" s="31" t="n">
        <v>2</v>
      </c>
      <c r="L61" s="31" t="n">
        <f aca="false">+K61+J61</f>
        <v>9</v>
      </c>
    </row>
    <row r="62" s="18" customFormat="true" ht="12.75" hidden="false" customHeight="true" outlineLevel="0" collapsed="false">
      <c r="B62" s="18" t="n">
        <v>57</v>
      </c>
      <c r="C62" s="28" t="n">
        <v>44958</v>
      </c>
      <c r="D62" s="18" t="n">
        <v>1</v>
      </c>
      <c r="E62" s="18" t="s">
        <v>155</v>
      </c>
      <c r="F62" s="29" t="n">
        <v>28</v>
      </c>
      <c r="G62" s="29" t="n">
        <v>29</v>
      </c>
      <c r="H62" s="29" t="n">
        <v>57</v>
      </c>
      <c r="I62" s="30" t="n">
        <v>45498</v>
      </c>
      <c r="J62" s="31" t="n">
        <v>7</v>
      </c>
      <c r="K62" s="31" t="n">
        <v>2</v>
      </c>
      <c r="L62" s="31" t="n">
        <f aca="false">+K62+J62</f>
        <v>9</v>
      </c>
    </row>
    <row r="63" s="18" customFormat="true" ht="12.75" hidden="false" customHeight="true" outlineLevel="0" collapsed="false">
      <c r="B63" s="18" t="n">
        <v>58</v>
      </c>
      <c r="C63" s="28" t="n">
        <v>44958</v>
      </c>
      <c r="D63" s="18" t="n">
        <v>1</v>
      </c>
      <c r="E63" s="18" t="s">
        <v>155</v>
      </c>
      <c r="F63" s="29" t="n">
        <v>29</v>
      </c>
      <c r="G63" s="29" t="n">
        <v>29</v>
      </c>
      <c r="H63" s="29" t="n">
        <v>58</v>
      </c>
      <c r="I63" s="30" t="n">
        <v>45498</v>
      </c>
      <c r="J63" s="31" t="n">
        <v>7</v>
      </c>
      <c r="K63" s="31" t="n">
        <v>2</v>
      </c>
      <c r="L63" s="31" t="n">
        <f aca="false">+K63+J63</f>
        <v>9</v>
      </c>
    </row>
    <row r="64" s="18" customFormat="true" ht="12.75" hidden="false" customHeight="true" outlineLevel="0" collapsed="false">
      <c r="B64" s="18" t="n">
        <v>59</v>
      </c>
      <c r="C64" s="28" t="n">
        <v>44986</v>
      </c>
      <c r="D64" s="18" t="n">
        <v>1</v>
      </c>
      <c r="E64" s="18" t="s">
        <v>155</v>
      </c>
      <c r="F64" s="29" t="n">
        <v>30</v>
      </c>
      <c r="G64" s="29" t="n">
        <v>29</v>
      </c>
      <c r="H64" s="29" t="n">
        <v>59</v>
      </c>
      <c r="I64" s="30" t="n">
        <v>45526</v>
      </c>
      <c r="J64" s="31" t="n">
        <v>7</v>
      </c>
      <c r="K64" s="31" t="n">
        <v>3</v>
      </c>
      <c r="L64" s="31" t="n">
        <f aca="false">+K64+J64</f>
        <v>10</v>
      </c>
    </row>
    <row r="65" s="18" customFormat="true" ht="12.75" hidden="false" customHeight="true" outlineLevel="0" collapsed="false">
      <c r="B65" s="18" t="n">
        <v>60</v>
      </c>
      <c r="C65" s="28" t="n">
        <v>44986</v>
      </c>
      <c r="D65" s="18" t="n">
        <v>1</v>
      </c>
      <c r="E65" s="18" t="s">
        <v>155</v>
      </c>
      <c r="F65" s="29" t="n">
        <v>31</v>
      </c>
      <c r="G65" s="29" t="n">
        <v>29</v>
      </c>
      <c r="H65" s="29" t="n">
        <v>60</v>
      </c>
      <c r="I65" s="30" t="n">
        <v>45526</v>
      </c>
      <c r="J65" s="31" t="n">
        <v>7</v>
      </c>
      <c r="K65" s="31" t="n">
        <v>3</v>
      </c>
      <c r="L65" s="31" t="n">
        <f aca="false">+K65+J65</f>
        <v>10</v>
      </c>
    </row>
    <row r="66" s="18" customFormat="true" ht="12.75" hidden="false" customHeight="true" outlineLevel="0" collapsed="false">
      <c r="B66" s="18" t="n">
        <v>61</v>
      </c>
      <c r="C66" s="28" t="n">
        <v>44986</v>
      </c>
      <c r="D66" s="18" t="n">
        <v>1</v>
      </c>
      <c r="E66" s="18" t="s">
        <v>155</v>
      </c>
      <c r="F66" s="29" t="n">
        <v>32</v>
      </c>
      <c r="G66" s="29" t="n">
        <v>29</v>
      </c>
      <c r="H66" s="29" t="n">
        <v>61</v>
      </c>
      <c r="I66" s="30" t="n">
        <v>45526</v>
      </c>
      <c r="J66" s="31" t="n">
        <v>7</v>
      </c>
      <c r="K66" s="31" t="n">
        <v>3</v>
      </c>
      <c r="L66" s="31" t="n">
        <f aca="false">+K66+J66</f>
        <v>10</v>
      </c>
    </row>
    <row r="67" s="18" customFormat="true" ht="12.75" hidden="false" customHeight="true" outlineLevel="0" collapsed="false">
      <c r="B67" s="18" t="n">
        <v>62</v>
      </c>
      <c r="C67" s="28" t="n">
        <v>44986</v>
      </c>
      <c r="D67" s="18" t="n">
        <v>1</v>
      </c>
      <c r="E67" s="18" t="s">
        <v>155</v>
      </c>
      <c r="F67" s="29" t="n">
        <v>33</v>
      </c>
      <c r="G67" s="29" t="n">
        <v>29</v>
      </c>
      <c r="H67" s="29" t="n">
        <v>62</v>
      </c>
      <c r="I67" s="30" t="n">
        <v>45526</v>
      </c>
      <c r="J67" s="31" t="n">
        <v>7</v>
      </c>
      <c r="K67" s="31" t="n">
        <v>3</v>
      </c>
      <c r="L67" s="31" t="n">
        <f aca="false">+K67+J67</f>
        <v>10</v>
      </c>
    </row>
    <row r="68" s="18" customFormat="true" ht="12.75" hidden="false" customHeight="true" outlineLevel="0" collapsed="false">
      <c r="B68" s="18" t="n">
        <v>63</v>
      </c>
      <c r="C68" s="28" t="n">
        <v>44986</v>
      </c>
      <c r="D68" s="18" t="n">
        <v>0</v>
      </c>
      <c r="E68" s="18" t="s">
        <v>156</v>
      </c>
      <c r="F68" s="29" t="n">
        <v>33</v>
      </c>
      <c r="G68" s="29" t="n">
        <v>30</v>
      </c>
      <c r="H68" s="29" t="n">
        <v>63</v>
      </c>
      <c r="I68" s="30" t="n">
        <v>45526</v>
      </c>
      <c r="J68" s="31" t="n">
        <v>7</v>
      </c>
      <c r="K68" s="31" t="n">
        <v>3</v>
      </c>
      <c r="L68" s="31" t="n">
        <f aca="false">+K68+J68</f>
        <v>10</v>
      </c>
    </row>
    <row r="69" s="18" customFormat="true" ht="12.75" hidden="false" customHeight="true" outlineLevel="0" collapsed="false">
      <c r="B69" s="18" t="n">
        <v>64</v>
      </c>
      <c r="C69" s="28" t="n">
        <v>45017</v>
      </c>
      <c r="D69" s="18" t="n">
        <v>0</v>
      </c>
      <c r="E69" s="18" t="s">
        <v>156</v>
      </c>
      <c r="F69" s="29" t="n">
        <v>33</v>
      </c>
      <c r="G69" s="29" t="n">
        <v>31</v>
      </c>
      <c r="H69" s="29" t="n">
        <v>64</v>
      </c>
      <c r="I69" s="30" t="n">
        <v>45557</v>
      </c>
      <c r="J69" s="31" t="n">
        <v>7</v>
      </c>
      <c r="K69" s="31" t="n">
        <v>4</v>
      </c>
      <c r="L69" s="31" t="n">
        <f aca="false">+K69+J69</f>
        <v>11</v>
      </c>
    </row>
    <row r="70" s="18" customFormat="true" ht="12.75" hidden="false" customHeight="true" outlineLevel="0" collapsed="false">
      <c r="B70" s="18" t="n">
        <v>65</v>
      </c>
      <c r="C70" s="28" t="n">
        <v>45017</v>
      </c>
      <c r="D70" s="18" t="n">
        <v>0</v>
      </c>
      <c r="E70" s="18" t="s">
        <v>156</v>
      </c>
      <c r="F70" s="29" t="n">
        <v>33</v>
      </c>
      <c r="G70" s="29" t="n">
        <v>32</v>
      </c>
      <c r="H70" s="29" t="n">
        <v>65</v>
      </c>
      <c r="I70" s="30" t="n">
        <v>45557</v>
      </c>
      <c r="J70" s="31" t="n">
        <v>7</v>
      </c>
      <c r="K70" s="31" t="n">
        <v>4</v>
      </c>
      <c r="L70" s="31" t="n">
        <f aca="false">+K70+J70</f>
        <v>11</v>
      </c>
    </row>
    <row r="71" s="18" customFormat="true" ht="12.75" hidden="false" customHeight="true" outlineLevel="0" collapsed="false">
      <c r="B71" s="18" t="n">
        <v>66</v>
      </c>
      <c r="C71" s="28" t="n">
        <v>45017</v>
      </c>
      <c r="D71" s="18" t="n">
        <v>0</v>
      </c>
      <c r="E71" s="18" t="s">
        <v>156</v>
      </c>
      <c r="F71" s="29" t="n">
        <v>33</v>
      </c>
      <c r="G71" s="29" t="n">
        <v>33</v>
      </c>
      <c r="H71" s="29" t="n">
        <v>66</v>
      </c>
      <c r="I71" s="30" t="n">
        <v>45557</v>
      </c>
      <c r="J71" s="31" t="n">
        <v>7</v>
      </c>
      <c r="K71" s="31" t="n">
        <v>4</v>
      </c>
      <c r="L71" s="31" t="n">
        <f aca="false">+K71+J71</f>
        <v>11</v>
      </c>
    </row>
    <row r="72" s="18" customFormat="true" ht="12.75" hidden="false" customHeight="true" outlineLevel="0" collapsed="false">
      <c r="B72" s="18" t="n">
        <v>67</v>
      </c>
      <c r="C72" s="28" t="n">
        <v>45017</v>
      </c>
      <c r="D72" s="18" t="n">
        <v>0</v>
      </c>
      <c r="E72" s="18" t="s">
        <v>156</v>
      </c>
      <c r="F72" s="29" t="n">
        <v>33</v>
      </c>
      <c r="G72" s="29" t="n">
        <v>34</v>
      </c>
      <c r="H72" s="29" t="n">
        <v>67</v>
      </c>
      <c r="I72" s="30" t="n">
        <v>45557</v>
      </c>
      <c r="J72" s="31" t="n">
        <v>7</v>
      </c>
      <c r="K72" s="31" t="n">
        <v>4</v>
      </c>
      <c r="L72" s="31" t="n">
        <f aca="false">+K72+J72</f>
        <v>11</v>
      </c>
    </row>
    <row r="73" s="18" customFormat="true" ht="12.75" hidden="false" customHeight="true" outlineLevel="0" collapsed="false">
      <c r="B73" s="18" t="n">
        <v>68</v>
      </c>
      <c r="C73" s="28" t="n">
        <v>45017</v>
      </c>
      <c r="D73" s="18" t="n">
        <v>0</v>
      </c>
      <c r="E73" s="18" t="s">
        <v>156</v>
      </c>
      <c r="F73" s="29" t="n">
        <v>33</v>
      </c>
      <c r="G73" s="29" t="n">
        <v>35</v>
      </c>
      <c r="H73" s="29" t="n">
        <v>68</v>
      </c>
      <c r="I73" s="30" t="n">
        <v>45557</v>
      </c>
      <c r="J73" s="31" t="n">
        <v>7</v>
      </c>
      <c r="K73" s="31" t="n">
        <v>4</v>
      </c>
      <c r="L73" s="31" t="n">
        <f aca="false">+K73+J73</f>
        <v>11</v>
      </c>
    </row>
    <row r="74" s="18" customFormat="true" ht="12.75" hidden="false" customHeight="true" outlineLevel="0" collapsed="false">
      <c r="B74" s="18" t="n">
        <v>69</v>
      </c>
      <c r="C74" s="28" t="n">
        <v>45047</v>
      </c>
      <c r="D74" s="18" t="n">
        <v>1</v>
      </c>
      <c r="E74" s="18" t="s">
        <v>155</v>
      </c>
      <c r="F74" s="29" t="n">
        <v>34</v>
      </c>
      <c r="G74" s="29" t="n">
        <v>35</v>
      </c>
      <c r="H74" s="29" t="n">
        <v>69</v>
      </c>
      <c r="I74" s="30" t="n">
        <v>45587</v>
      </c>
      <c r="J74" s="31" t="n">
        <v>7</v>
      </c>
      <c r="K74" s="31" t="n">
        <v>5</v>
      </c>
      <c r="L74" s="31" t="n">
        <f aca="false">+K74+J74</f>
        <v>12</v>
      </c>
    </row>
    <row r="75" s="18" customFormat="true" ht="12.75" hidden="false" customHeight="true" outlineLevel="0" collapsed="false">
      <c r="B75" s="18" t="n">
        <v>70</v>
      </c>
      <c r="C75" s="28" t="n">
        <v>45047</v>
      </c>
      <c r="D75" s="18" t="n">
        <v>0</v>
      </c>
      <c r="E75" s="18" t="s">
        <v>156</v>
      </c>
      <c r="F75" s="29" t="n">
        <v>34</v>
      </c>
      <c r="G75" s="29" t="n">
        <v>36</v>
      </c>
      <c r="H75" s="29" t="n">
        <v>70</v>
      </c>
      <c r="I75" s="30" t="n">
        <v>45587</v>
      </c>
      <c r="J75" s="31" t="n">
        <v>7</v>
      </c>
      <c r="K75" s="31" t="n">
        <v>5</v>
      </c>
      <c r="L75" s="31" t="n">
        <f aca="false">+K75+J75</f>
        <v>12</v>
      </c>
    </row>
    <row r="76" s="18" customFormat="true" ht="12.75" hidden="false" customHeight="true" outlineLevel="0" collapsed="false">
      <c r="B76" s="18" t="n">
        <v>71</v>
      </c>
      <c r="C76" s="28" t="n">
        <v>45047</v>
      </c>
      <c r="D76" s="18" t="n">
        <v>1</v>
      </c>
      <c r="E76" s="18" t="s">
        <v>155</v>
      </c>
      <c r="F76" s="29" t="n">
        <v>35</v>
      </c>
      <c r="G76" s="29" t="n">
        <v>36</v>
      </c>
      <c r="H76" s="29" t="n">
        <v>71</v>
      </c>
      <c r="I76" s="30" t="n">
        <v>45587</v>
      </c>
      <c r="J76" s="31" t="n">
        <v>7</v>
      </c>
      <c r="K76" s="31" t="n">
        <v>5</v>
      </c>
      <c r="L76" s="31" t="n">
        <f aca="false">+K76+J76</f>
        <v>12</v>
      </c>
    </row>
    <row r="77" s="18" customFormat="true" ht="12.75" hidden="false" customHeight="true" outlineLevel="0" collapsed="false">
      <c r="B77" s="18" t="n">
        <v>72</v>
      </c>
      <c r="C77" s="28" t="n">
        <v>45047</v>
      </c>
      <c r="D77" s="18" t="n">
        <v>0</v>
      </c>
      <c r="E77" s="18" t="s">
        <v>156</v>
      </c>
      <c r="F77" s="29" t="n">
        <v>35</v>
      </c>
      <c r="G77" s="29" t="n">
        <v>37</v>
      </c>
      <c r="H77" s="29" t="n">
        <v>72</v>
      </c>
      <c r="I77" s="30" t="n">
        <v>45587</v>
      </c>
      <c r="J77" s="31" t="n">
        <v>7</v>
      </c>
      <c r="K77" s="31" t="n">
        <v>5</v>
      </c>
      <c r="L77" s="31" t="n">
        <f aca="false">+K77+J77</f>
        <v>12</v>
      </c>
    </row>
    <row r="78" s="18" customFormat="true" ht="12.75" hidden="false" customHeight="true" outlineLevel="0" collapsed="false">
      <c r="B78" s="18" t="n">
        <v>73</v>
      </c>
      <c r="C78" s="28" t="n">
        <v>45047</v>
      </c>
      <c r="D78" s="18" t="n">
        <v>1</v>
      </c>
      <c r="E78" s="18" t="s">
        <v>155</v>
      </c>
      <c r="F78" s="29" t="n">
        <v>36</v>
      </c>
      <c r="G78" s="29" t="n">
        <v>37</v>
      </c>
      <c r="H78" s="29" t="n">
        <v>73</v>
      </c>
      <c r="I78" s="30" t="n">
        <v>45587</v>
      </c>
      <c r="J78" s="31" t="n">
        <v>7</v>
      </c>
      <c r="K78" s="31" t="n">
        <v>5</v>
      </c>
      <c r="L78" s="31" t="n">
        <f aca="false">+K78+J78</f>
        <v>12</v>
      </c>
    </row>
    <row r="79" s="18" customFormat="true" ht="12.75" hidden="false" customHeight="true" outlineLevel="0" collapsed="false">
      <c r="B79" s="18" t="n">
        <v>74</v>
      </c>
      <c r="C79" s="28" t="n">
        <v>45078</v>
      </c>
      <c r="D79" s="18" t="n">
        <v>1</v>
      </c>
      <c r="E79" s="18" t="s">
        <v>155</v>
      </c>
      <c r="F79" s="29" t="n">
        <v>37</v>
      </c>
      <c r="G79" s="29" t="n">
        <v>37</v>
      </c>
      <c r="H79" s="29" t="n">
        <v>74</v>
      </c>
      <c r="I79" s="30" t="n">
        <v>45618</v>
      </c>
      <c r="J79" s="31" t="n">
        <v>8</v>
      </c>
      <c r="K79" s="31" t="n">
        <v>5</v>
      </c>
      <c r="L79" s="31" t="n">
        <f aca="false">+K79+J79</f>
        <v>13</v>
      </c>
    </row>
    <row r="80" s="18" customFormat="true" ht="12.75" hidden="false" customHeight="true" outlineLevel="0" collapsed="false">
      <c r="B80" s="18" t="n">
        <v>75</v>
      </c>
      <c r="C80" s="28" t="n">
        <v>45078</v>
      </c>
      <c r="D80" s="18" t="n">
        <v>0</v>
      </c>
      <c r="E80" s="18" t="s">
        <v>156</v>
      </c>
      <c r="F80" s="29" t="n">
        <v>37</v>
      </c>
      <c r="G80" s="29" t="n">
        <v>38</v>
      </c>
      <c r="H80" s="29" t="n">
        <v>75</v>
      </c>
      <c r="I80" s="30" t="n">
        <v>45618</v>
      </c>
      <c r="J80" s="31" t="n">
        <v>8</v>
      </c>
      <c r="K80" s="31" t="n">
        <v>5</v>
      </c>
      <c r="L80" s="31" t="n">
        <f aca="false">+K80+J80</f>
        <v>13</v>
      </c>
    </row>
    <row r="81" s="18" customFormat="true" ht="12.75" hidden="false" customHeight="true" outlineLevel="0" collapsed="false">
      <c r="B81" s="18" t="n">
        <v>76</v>
      </c>
      <c r="C81" s="28" t="n">
        <v>45078</v>
      </c>
      <c r="D81" s="18" t="n">
        <v>1</v>
      </c>
      <c r="E81" s="18" t="s">
        <v>155</v>
      </c>
      <c r="F81" s="29" t="n">
        <v>38</v>
      </c>
      <c r="G81" s="29" t="n">
        <v>38</v>
      </c>
      <c r="H81" s="29" t="n">
        <v>76</v>
      </c>
      <c r="I81" s="30" t="n">
        <v>45618</v>
      </c>
      <c r="J81" s="31" t="n">
        <v>8</v>
      </c>
      <c r="K81" s="31" t="n">
        <v>5</v>
      </c>
      <c r="L81" s="31" t="n">
        <f aca="false">+K81+J81</f>
        <v>13</v>
      </c>
    </row>
    <row r="82" s="18" customFormat="true" ht="12.75" hidden="false" customHeight="true" outlineLevel="0" collapsed="false">
      <c r="B82" s="18" t="n">
        <v>77</v>
      </c>
      <c r="C82" s="28" t="n">
        <v>45078</v>
      </c>
      <c r="D82" s="18" t="n">
        <v>0</v>
      </c>
      <c r="E82" s="18" t="s">
        <v>156</v>
      </c>
      <c r="F82" s="29" t="n">
        <v>38</v>
      </c>
      <c r="G82" s="29" t="n">
        <v>39</v>
      </c>
      <c r="H82" s="29" t="n">
        <v>77</v>
      </c>
      <c r="I82" s="30" t="n">
        <v>45618</v>
      </c>
      <c r="J82" s="31" t="n">
        <v>8</v>
      </c>
      <c r="K82" s="31" t="n">
        <v>5</v>
      </c>
      <c r="L82" s="31" t="n">
        <f aca="false">+K82+J82</f>
        <v>13</v>
      </c>
    </row>
    <row r="83" s="18" customFormat="true" ht="12.75" hidden="false" customHeight="true" outlineLevel="0" collapsed="false">
      <c r="B83" s="18" t="n">
        <v>78</v>
      </c>
      <c r="C83" s="28" t="n">
        <v>45078</v>
      </c>
      <c r="D83" s="18" t="n">
        <v>0</v>
      </c>
      <c r="E83" s="18" t="s">
        <v>156</v>
      </c>
      <c r="F83" s="29" t="n">
        <v>38</v>
      </c>
      <c r="G83" s="29" t="n">
        <v>40</v>
      </c>
      <c r="H83" s="29" t="n">
        <v>78</v>
      </c>
      <c r="I83" s="30" t="n">
        <v>45618</v>
      </c>
      <c r="J83" s="31" t="n">
        <v>8</v>
      </c>
      <c r="K83" s="31" t="n">
        <v>5</v>
      </c>
      <c r="L83" s="31" t="n">
        <f aca="false">+K83+J83</f>
        <v>13</v>
      </c>
    </row>
    <row r="84" s="18" customFormat="true" ht="12.75" hidden="false" customHeight="true" outlineLevel="0" collapsed="false">
      <c r="B84" s="18" t="n">
        <v>79</v>
      </c>
      <c r="C84" s="28" t="n">
        <v>45108</v>
      </c>
      <c r="D84" s="18" t="n">
        <v>0</v>
      </c>
      <c r="E84" s="18" t="s">
        <v>156</v>
      </c>
      <c r="F84" s="29" t="n">
        <v>38</v>
      </c>
      <c r="G84" s="29" t="n">
        <v>41</v>
      </c>
      <c r="H84" s="29" t="n">
        <v>79</v>
      </c>
      <c r="I84" s="30" t="n">
        <v>45648</v>
      </c>
      <c r="J84" s="31" t="n">
        <v>8</v>
      </c>
      <c r="K84" s="31" t="n">
        <v>6</v>
      </c>
      <c r="L84" s="31" t="n">
        <f aca="false">+K84+J84</f>
        <v>14</v>
      </c>
    </row>
    <row r="85" s="18" customFormat="true" ht="12.75" hidden="false" customHeight="true" outlineLevel="0" collapsed="false">
      <c r="B85" s="18" t="n">
        <v>80</v>
      </c>
      <c r="C85" s="28" t="n">
        <v>45108</v>
      </c>
      <c r="D85" s="18" t="n">
        <v>0</v>
      </c>
      <c r="E85" s="18" t="s">
        <v>156</v>
      </c>
      <c r="F85" s="29" t="n">
        <v>38</v>
      </c>
      <c r="G85" s="29" t="n">
        <v>42</v>
      </c>
      <c r="H85" s="29" t="n">
        <v>80</v>
      </c>
      <c r="I85" s="30" t="n">
        <v>45648</v>
      </c>
      <c r="J85" s="31" t="n">
        <v>8</v>
      </c>
      <c r="K85" s="31" t="n">
        <v>6</v>
      </c>
      <c r="L85" s="31" t="n">
        <f aca="false">+K85+J85</f>
        <v>14</v>
      </c>
    </row>
    <row r="86" s="18" customFormat="true" ht="12.75" hidden="false" customHeight="true" outlineLevel="0" collapsed="false">
      <c r="B86" s="18" t="n">
        <v>81</v>
      </c>
      <c r="C86" s="28" t="n">
        <v>45108</v>
      </c>
      <c r="D86" s="18" t="n">
        <v>1</v>
      </c>
      <c r="E86" s="18" t="s">
        <v>155</v>
      </c>
      <c r="F86" s="29" t="n">
        <v>39</v>
      </c>
      <c r="G86" s="29" t="n">
        <v>42</v>
      </c>
      <c r="H86" s="29" t="n">
        <v>81</v>
      </c>
      <c r="I86" s="30" t="n">
        <v>45648</v>
      </c>
      <c r="J86" s="31" t="n">
        <v>8</v>
      </c>
      <c r="K86" s="31" t="n">
        <v>6</v>
      </c>
      <c r="L86" s="31" t="n">
        <f aca="false">+K86+J86</f>
        <v>14</v>
      </c>
    </row>
    <row r="87" s="18" customFormat="true" ht="12.75" hidden="false" customHeight="true" outlineLevel="0" collapsed="false">
      <c r="B87" s="18" t="n">
        <v>82</v>
      </c>
      <c r="C87" s="28" t="n">
        <v>45108</v>
      </c>
      <c r="D87" s="18" t="n">
        <v>1</v>
      </c>
      <c r="E87" s="18" t="s">
        <v>155</v>
      </c>
      <c r="F87" s="29" t="n">
        <v>40</v>
      </c>
      <c r="G87" s="29" t="n">
        <v>42</v>
      </c>
      <c r="H87" s="29" t="n">
        <v>82</v>
      </c>
      <c r="I87" s="30" t="n">
        <v>45648</v>
      </c>
      <c r="J87" s="31" t="n">
        <v>8</v>
      </c>
      <c r="K87" s="31" t="n">
        <v>6</v>
      </c>
      <c r="L87" s="31" t="n">
        <f aca="false">+K87+J87</f>
        <v>14</v>
      </c>
    </row>
    <row r="88" s="18" customFormat="true" ht="12.75" hidden="false" customHeight="true" outlineLevel="0" collapsed="false">
      <c r="B88" s="18" t="n">
        <v>83</v>
      </c>
      <c r="C88" s="28" t="n">
        <v>45108</v>
      </c>
      <c r="D88" s="18" t="n">
        <v>0</v>
      </c>
      <c r="E88" s="18" t="s">
        <v>156</v>
      </c>
      <c r="F88" s="29" t="n">
        <v>40</v>
      </c>
      <c r="G88" s="29" t="n">
        <v>43</v>
      </c>
      <c r="H88" s="29" t="n">
        <v>83</v>
      </c>
      <c r="I88" s="30" t="n">
        <v>45648</v>
      </c>
      <c r="J88" s="31" t="n">
        <v>8</v>
      </c>
      <c r="K88" s="31" t="n">
        <v>6</v>
      </c>
      <c r="L88" s="31" t="n">
        <f aca="false">+K88+J88</f>
        <v>14</v>
      </c>
    </row>
    <row r="89" customFormat="false" ht="12" hidden="false" customHeight="false" outlineLevel="0" collapsed="false">
      <c r="B89" s="0" t="n">
        <v>84</v>
      </c>
      <c r="C89" s="32" t="n">
        <v>45139</v>
      </c>
      <c r="D89" s="0" t="n">
        <v>1</v>
      </c>
      <c r="E89" s="4" t="s">
        <v>155</v>
      </c>
      <c r="F89" s="10" t="n">
        <v>41</v>
      </c>
      <c r="G89" s="10" t="n">
        <v>43</v>
      </c>
      <c r="H89" s="10" t="n">
        <v>84</v>
      </c>
      <c r="I89" s="33" t="n">
        <v>45679</v>
      </c>
      <c r="J89" s="7" t="n">
        <v>8</v>
      </c>
      <c r="K89" s="7" t="n">
        <v>7</v>
      </c>
      <c r="L89" s="7" t="n">
        <f aca="false">+K89+J89</f>
        <v>15</v>
      </c>
    </row>
    <row r="90" customFormat="false" ht="12" hidden="false" customHeight="false" outlineLevel="0" collapsed="false">
      <c r="B90" s="0" t="n">
        <v>85</v>
      </c>
      <c r="C90" s="32" t="n">
        <v>45139</v>
      </c>
      <c r="D90" s="0" t="n">
        <v>0</v>
      </c>
      <c r="E90" s="4" t="s">
        <v>156</v>
      </c>
      <c r="F90" s="10" t="n">
        <v>41</v>
      </c>
      <c r="G90" s="10" t="n">
        <v>44</v>
      </c>
      <c r="H90" s="10" t="n">
        <v>85</v>
      </c>
      <c r="I90" s="33" t="n">
        <v>45679</v>
      </c>
      <c r="J90" s="7" t="n">
        <v>9</v>
      </c>
      <c r="K90" s="7" t="n">
        <v>7</v>
      </c>
      <c r="L90" s="7" t="n">
        <f aca="false">+K90+J90</f>
        <v>16</v>
      </c>
    </row>
    <row r="91" customFormat="false" ht="12" hidden="false" customHeight="false" outlineLevel="0" collapsed="false">
      <c r="B91" s="0" t="n">
        <v>86</v>
      </c>
      <c r="C91" s="32" t="n">
        <v>45139</v>
      </c>
      <c r="D91" s="0" t="n">
        <v>0</v>
      </c>
      <c r="E91" s="4" t="s">
        <v>156</v>
      </c>
      <c r="F91" s="10" t="n">
        <v>41</v>
      </c>
      <c r="G91" s="10" t="n">
        <v>45</v>
      </c>
      <c r="H91" s="10" t="n">
        <v>86</v>
      </c>
      <c r="I91" s="33" t="n">
        <v>45679</v>
      </c>
      <c r="J91" s="7" t="n">
        <v>9</v>
      </c>
      <c r="K91" s="7" t="n">
        <v>7</v>
      </c>
      <c r="L91" s="7" t="n">
        <f aca="false">+K91+J91</f>
        <v>16</v>
      </c>
    </row>
    <row r="92" customFormat="false" ht="12" hidden="false" customHeight="false" outlineLevel="0" collapsed="false">
      <c r="B92" s="0" t="n">
        <v>87</v>
      </c>
      <c r="C92" s="32" t="n">
        <v>45139</v>
      </c>
      <c r="D92" s="0" t="n">
        <v>0</v>
      </c>
      <c r="E92" s="4" t="s">
        <v>156</v>
      </c>
      <c r="F92" s="10" t="n">
        <v>41</v>
      </c>
      <c r="G92" s="10" t="n">
        <v>46</v>
      </c>
      <c r="H92" s="10" t="n">
        <v>87</v>
      </c>
      <c r="I92" s="33" t="n">
        <v>45679</v>
      </c>
      <c r="J92" s="7" t="n">
        <v>9</v>
      </c>
      <c r="K92" s="7" t="n">
        <v>7</v>
      </c>
      <c r="L92" s="7" t="n">
        <f aca="false">+K92+J92</f>
        <v>16</v>
      </c>
    </row>
    <row r="93" customFormat="false" ht="12" hidden="false" customHeight="false" outlineLevel="0" collapsed="false">
      <c r="B93" s="0" t="n">
        <v>88</v>
      </c>
      <c r="C93" s="32" t="n">
        <v>45139</v>
      </c>
      <c r="D93" s="0" t="n">
        <v>1</v>
      </c>
      <c r="E93" s="4" t="s">
        <v>155</v>
      </c>
      <c r="F93" s="10" t="n">
        <v>42</v>
      </c>
      <c r="G93" s="10" t="n">
        <v>46</v>
      </c>
      <c r="H93" s="10" t="n">
        <v>88</v>
      </c>
      <c r="I93" s="33" t="n">
        <v>45679</v>
      </c>
      <c r="J93" s="7" t="n">
        <v>9</v>
      </c>
      <c r="K93" s="7" t="n">
        <v>7</v>
      </c>
      <c r="L93" s="7" t="n">
        <f aca="false">+K93+J93</f>
        <v>16</v>
      </c>
    </row>
    <row r="94" customFormat="false" ht="12" hidden="false" customHeight="false" outlineLevel="0" collapsed="false">
      <c r="B94" s="0" t="n">
        <v>89</v>
      </c>
      <c r="C94" s="32" t="n">
        <v>45170</v>
      </c>
      <c r="D94" s="0" t="n">
        <v>1</v>
      </c>
      <c r="E94" s="4" t="s">
        <v>155</v>
      </c>
      <c r="F94" s="10" t="n">
        <v>43</v>
      </c>
      <c r="G94" s="10" t="n">
        <v>46</v>
      </c>
      <c r="H94" s="10" t="n">
        <v>89</v>
      </c>
      <c r="I94" s="33" t="n">
        <v>45710</v>
      </c>
      <c r="J94" s="7" t="n">
        <v>9</v>
      </c>
      <c r="K94" s="7" t="n">
        <v>7</v>
      </c>
      <c r="L94" s="7" t="n">
        <f aca="false">+K94+J94</f>
        <v>16</v>
      </c>
    </row>
    <row r="95" customFormat="false" ht="12" hidden="false" customHeight="false" outlineLevel="0" collapsed="false">
      <c r="B95" s="0" t="n">
        <v>90</v>
      </c>
      <c r="C95" s="32" t="n">
        <v>45170</v>
      </c>
      <c r="D95" s="0" t="n">
        <v>0</v>
      </c>
      <c r="E95" s="4" t="s">
        <v>156</v>
      </c>
      <c r="F95" s="10" t="n">
        <v>43</v>
      </c>
      <c r="G95" s="10" t="n">
        <v>47</v>
      </c>
      <c r="H95" s="10" t="n">
        <v>90</v>
      </c>
      <c r="I95" s="33" t="n">
        <v>45710</v>
      </c>
      <c r="J95" s="7" t="n">
        <v>10</v>
      </c>
      <c r="K95" s="7" t="n">
        <v>7</v>
      </c>
      <c r="L95" s="7" t="n">
        <f aca="false">+K95+J95</f>
        <v>17</v>
      </c>
    </row>
    <row r="96" customFormat="false" ht="12" hidden="false" customHeight="false" outlineLevel="0" collapsed="false">
      <c r="B96" s="0" t="n">
        <v>91</v>
      </c>
      <c r="C96" s="32" t="n">
        <v>45170</v>
      </c>
      <c r="D96" s="0" t="n">
        <v>1</v>
      </c>
      <c r="E96" s="4" t="s">
        <v>155</v>
      </c>
      <c r="F96" s="10" t="n">
        <v>44</v>
      </c>
      <c r="G96" s="10" t="n">
        <v>47</v>
      </c>
      <c r="H96" s="10" t="n">
        <v>91</v>
      </c>
      <c r="I96" s="33" t="n">
        <v>45710</v>
      </c>
      <c r="J96" s="7" t="n">
        <v>10</v>
      </c>
      <c r="K96" s="7" t="n">
        <v>8</v>
      </c>
      <c r="L96" s="7" t="n">
        <f aca="false">+K96+J96</f>
        <v>18</v>
      </c>
    </row>
    <row r="97" customFormat="false" ht="12" hidden="false" customHeight="false" outlineLevel="0" collapsed="false">
      <c r="B97" s="0" t="n">
        <v>92</v>
      </c>
      <c r="C97" s="32" t="n">
        <v>45170</v>
      </c>
      <c r="D97" s="0" t="n">
        <v>1</v>
      </c>
      <c r="E97" s="4" t="s">
        <v>155</v>
      </c>
      <c r="F97" s="10" t="n">
        <v>45</v>
      </c>
      <c r="G97" s="10" t="n">
        <v>47</v>
      </c>
      <c r="H97" s="10" t="n">
        <v>92</v>
      </c>
      <c r="I97" s="33" t="n">
        <v>45710</v>
      </c>
      <c r="J97" s="7" t="n">
        <v>10</v>
      </c>
      <c r="K97" s="7" t="n">
        <v>8</v>
      </c>
      <c r="L97" s="7" t="n">
        <f aca="false">+K97+J97</f>
        <v>18</v>
      </c>
    </row>
    <row r="98" customFormat="false" ht="12" hidden="false" customHeight="false" outlineLevel="0" collapsed="false">
      <c r="B98" s="0" t="n">
        <v>93</v>
      </c>
      <c r="C98" s="32" t="n">
        <v>45170</v>
      </c>
      <c r="D98" s="0" t="n">
        <v>1</v>
      </c>
      <c r="E98" s="4" t="s">
        <v>155</v>
      </c>
      <c r="F98" s="10" t="n">
        <v>46</v>
      </c>
      <c r="G98" s="10" t="n">
        <v>47</v>
      </c>
      <c r="H98" s="10" t="n">
        <v>93</v>
      </c>
      <c r="I98" s="33" t="n">
        <v>45710</v>
      </c>
      <c r="J98" s="7" t="n">
        <v>10</v>
      </c>
      <c r="K98" s="7" t="n">
        <v>8</v>
      </c>
      <c r="L98" s="7" t="n">
        <f aca="false">+K98+J98</f>
        <v>18</v>
      </c>
    </row>
    <row r="99" customFormat="false" ht="12" hidden="false" customHeight="false" outlineLevel="0" collapsed="false">
      <c r="B99" s="0" t="n">
        <v>94</v>
      </c>
      <c r="C99" s="32" t="n">
        <v>45200</v>
      </c>
      <c r="D99" s="0" t="n">
        <v>0</v>
      </c>
      <c r="E99" s="4" t="s">
        <v>156</v>
      </c>
      <c r="F99" s="10" t="n">
        <v>46</v>
      </c>
      <c r="G99" s="10" t="n">
        <v>48</v>
      </c>
      <c r="H99" s="10" t="n">
        <v>94</v>
      </c>
      <c r="I99" s="33" t="n">
        <v>45740</v>
      </c>
      <c r="J99" s="7" t="n">
        <v>11</v>
      </c>
      <c r="K99" s="7" t="n">
        <v>8</v>
      </c>
      <c r="L99" s="7" t="n">
        <f aca="false">+K99+J99</f>
        <v>19</v>
      </c>
    </row>
    <row r="100" customFormat="false" ht="12" hidden="false" customHeight="false" outlineLevel="0" collapsed="false">
      <c r="B100" s="0" t="n">
        <v>95</v>
      </c>
      <c r="C100" s="32" t="n">
        <v>45200</v>
      </c>
      <c r="D100" s="0" t="n">
        <v>0</v>
      </c>
      <c r="E100" s="4" t="s">
        <v>156</v>
      </c>
      <c r="F100" s="10" t="n">
        <v>46</v>
      </c>
      <c r="G100" s="10" t="n">
        <v>49</v>
      </c>
      <c r="H100" s="10" t="n">
        <v>95</v>
      </c>
      <c r="I100" s="33" t="n">
        <v>45740</v>
      </c>
      <c r="J100" s="7" t="n">
        <v>12</v>
      </c>
      <c r="K100" s="7" t="n">
        <v>8</v>
      </c>
      <c r="L100" s="7" t="n">
        <f aca="false">+K100+J100</f>
        <v>20</v>
      </c>
    </row>
    <row r="101" customFormat="false" ht="12" hidden="false" customHeight="false" outlineLevel="0" collapsed="false">
      <c r="B101" s="0" t="n">
        <v>96</v>
      </c>
      <c r="C101" s="32" t="n">
        <v>45200</v>
      </c>
      <c r="D101" s="0" t="n">
        <v>1</v>
      </c>
      <c r="E101" s="4" t="s">
        <v>155</v>
      </c>
      <c r="F101" s="10" t="n">
        <v>47</v>
      </c>
      <c r="G101" s="10" t="n">
        <v>49</v>
      </c>
      <c r="H101" s="10" t="n">
        <v>96</v>
      </c>
      <c r="I101" s="33" t="n">
        <v>45740</v>
      </c>
      <c r="J101" s="7" t="n">
        <v>13</v>
      </c>
      <c r="K101" s="7" t="n">
        <v>8</v>
      </c>
      <c r="L101" s="7" t="n">
        <f aca="false">+K101+J101</f>
        <v>21</v>
      </c>
    </row>
    <row r="102" customFormat="false" ht="12" hidden="false" customHeight="false" outlineLevel="0" collapsed="false">
      <c r="B102" s="0" t="n">
        <v>97</v>
      </c>
      <c r="C102" s="32" t="n">
        <v>45200</v>
      </c>
      <c r="D102" s="0" t="n">
        <v>1</v>
      </c>
      <c r="E102" s="4" t="s">
        <v>155</v>
      </c>
      <c r="F102" s="10" t="n">
        <v>48</v>
      </c>
      <c r="G102" s="10" t="n">
        <v>49</v>
      </c>
      <c r="H102" s="10" t="n">
        <v>97</v>
      </c>
      <c r="I102" s="33" t="n">
        <v>45740</v>
      </c>
      <c r="J102" s="7" t="n">
        <v>13</v>
      </c>
      <c r="K102" s="7" t="n">
        <v>8</v>
      </c>
      <c r="L102" s="7" t="n">
        <f aca="false">+K102+J102</f>
        <v>21</v>
      </c>
    </row>
    <row r="103" customFormat="false" ht="12" hidden="false" customHeight="false" outlineLevel="0" collapsed="false">
      <c r="B103" s="0" t="n">
        <v>98</v>
      </c>
      <c r="C103" s="32" t="n">
        <v>45200</v>
      </c>
      <c r="D103" s="0" t="n">
        <v>0</v>
      </c>
      <c r="E103" s="4" t="s">
        <v>156</v>
      </c>
      <c r="F103" s="10" t="n">
        <v>48</v>
      </c>
      <c r="G103" s="10" t="n">
        <v>50</v>
      </c>
      <c r="H103" s="10" t="n">
        <v>98</v>
      </c>
      <c r="I103" s="33" t="n">
        <v>45740</v>
      </c>
      <c r="J103" s="7" t="n">
        <v>13</v>
      </c>
      <c r="K103" s="7" t="n">
        <v>8</v>
      </c>
      <c r="L103" s="7" t="n">
        <f aca="false">+K103+J103</f>
        <v>21</v>
      </c>
    </row>
    <row r="104" customFormat="false" ht="12" hidden="false" customHeight="false" outlineLevel="0" collapsed="false">
      <c r="B104" s="0" t="n">
        <v>99</v>
      </c>
      <c r="C104" s="32" t="n">
        <v>45231</v>
      </c>
      <c r="D104" s="0" t="n">
        <v>0</v>
      </c>
      <c r="E104" s="4" t="s">
        <v>156</v>
      </c>
      <c r="F104" s="10" t="n">
        <v>48</v>
      </c>
      <c r="G104" s="10" t="n">
        <v>51</v>
      </c>
      <c r="H104" s="10" t="n">
        <v>99</v>
      </c>
      <c r="I104" s="33" t="n">
        <v>45771</v>
      </c>
      <c r="J104" s="7" t="n">
        <v>14</v>
      </c>
      <c r="K104" s="7" t="n">
        <v>8</v>
      </c>
      <c r="L104" s="7" t="n">
        <f aca="false">+K104+J104</f>
        <v>22</v>
      </c>
    </row>
    <row r="105" customFormat="false" ht="12" hidden="false" customHeight="false" outlineLevel="0" collapsed="false">
      <c r="B105" s="0" t="n">
        <v>100</v>
      </c>
      <c r="C105" s="32" t="n">
        <v>45231</v>
      </c>
      <c r="D105" s="0" t="n">
        <v>0</v>
      </c>
      <c r="E105" s="4" t="s">
        <v>156</v>
      </c>
      <c r="F105" s="10" t="n">
        <v>48</v>
      </c>
      <c r="G105" s="10" t="n">
        <v>52</v>
      </c>
      <c r="H105" s="10" t="n">
        <v>100</v>
      </c>
      <c r="I105" s="33" t="n">
        <v>45771</v>
      </c>
      <c r="J105" s="7" t="n">
        <v>14</v>
      </c>
      <c r="K105" s="7" t="n">
        <v>9</v>
      </c>
      <c r="L105" s="7" t="n">
        <f aca="false">+K105+J105</f>
        <v>23</v>
      </c>
    </row>
    <row r="106" customFormat="false" ht="12" hidden="false" customHeight="false" outlineLevel="0" collapsed="false">
      <c r="B106" s="0" t="n">
        <v>101</v>
      </c>
      <c r="C106" s="32" t="n">
        <v>45231</v>
      </c>
      <c r="D106" s="0" t="n">
        <v>1</v>
      </c>
      <c r="E106" s="4" t="s">
        <v>155</v>
      </c>
      <c r="F106" s="10" t="n">
        <v>49</v>
      </c>
      <c r="G106" s="10" t="n">
        <v>52</v>
      </c>
      <c r="H106" s="10" t="n">
        <v>101</v>
      </c>
      <c r="I106" s="33" t="n">
        <v>45771</v>
      </c>
      <c r="J106" s="7" t="n">
        <v>15</v>
      </c>
      <c r="K106" s="7" t="n">
        <v>9</v>
      </c>
      <c r="L106" s="7" t="n">
        <f aca="false">+K106+J106</f>
        <v>24</v>
      </c>
    </row>
    <row r="107" customFormat="false" ht="12" hidden="false" customHeight="false" outlineLevel="0" collapsed="false">
      <c r="B107" s="0" t="n">
        <v>102</v>
      </c>
      <c r="C107" s="32" t="n">
        <v>45231</v>
      </c>
      <c r="D107" s="0" t="n">
        <v>0</v>
      </c>
      <c r="E107" s="4" t="s">
        <v>156</v>
      </c>
      <c r="F107" s="10" t="n">
        <v>49</v>
      </c>
      <c r="G107" s="10" t="n">
        <v>53</v>
      </c>
      <c r="H107" s="10" t="n">
        <v>102</v>
      </c>
      <c r="I107" s="33" t="n">
        <v>45771</v>
      </c>
      <c r="J107" s="7" t="n">
        <v>15</v>
      </c>
      <c r="K107" s="7" t="n">
        <v>9</v>
      </c>
      <c r="L107" s="7" t="n">
        <f aca="false">+K107+J107</f>
        <v>24</v>
      </c>
    </row>
    <row r="108" customFormat="false" ht="12" hidden="false" customHeight="false" outlineLevel="0" collapsed="false">
      <c r="B108" s="0" t="n">
        <v>103</v>
      </c>
      <c r="C108" s="32" t="n">
        <v>45231</v>
      </c>
      <c r="D108" s="0" t="n">
        <v>1</v>
      </c>
      <c r="E108" s="4" t="s">
        <v>155</v>
      </c>
      <c r="F108" s="10" t="n">
        <v>50</v>
      </c>
      <c r="G108" s="10" t="n">
        <v>53</v>
      </c>
      <c r="H108" s="10" t="n">
        <v>103</v>
      </c>
      <c r="I108" s="33" t="n">
        <v>45771</v>
      </c>
      <c r="J108" s="7" t="n">
        <v>15</v>
      </c>
      <c r="K108" s="7" t="n">
        <v>9</v>
      </c>
      <c r="L108" s="7" t="n">
        <f aca="false">+K108+J108</f>
        <v>24</v>
      </c>
    </row>
    <row r="109" customFormat="false" ht="12" hidden="false" customHeight="false" outlineLevel="0" collapsed="false">
      <c r="B109" s="0" t="n">
        <v>104</v>
      </c>
      <c r="C109" s="32" t="n">
        <v>45261</v>
      </c>
      <c r="D109" s="0" t="n">
        <v>0</v>
      </c>
      <c r="E109" s="4" t="s">
        <v>156</v>
      </c>
      <c r="F109" s="10" t="n">
        <v>50</v>
      </c>
      <c r="G109" s="10" t="n">
        <v>54</v>
      </c>
      <c r="H109" s="10" t="n">
        <v>104</v>
      </c>
      <c r="I109" s="33" t="n">
        <v>45801</v>
      </c>
      <c r="J109" s="7" t="n">
        <v>15</v>
      </c>
      <c r="K109" s="7" t="n">
        <v>10</v>
      </c>
      <c r="L109" s="7" t="n">
        <f aca="false">+K109+J109</f>
        <v>25</v>
      </c>
    </row>
    <row r="110" customFormat="false" ht="12" hidden="false" customHeight="false" outlineLevel="0" collapsed="false">
      <c r="B110" s="0" t="n">
        <v>105</v>
      </c>
      <c r="C110" s="32" t="n">
        <v>45261</v>
      </c>
      <c r="D110" s="0" t="n">
        <v>0</v>
      </c>
      <c r="E110" s="4" t="s">
        <v>156</v>
      </c>
      <c r="F110" s="10" t="n">
        <v>50</v>
      </c>
      <c r="G110" s="10" t="n">
        <v>55</v>
      </c>
      <c r="H110" s="10" t="n">
        <v>105</v>
      </c>
      <c r="I110" s="33" t="n">
        <v>45801</v>
      </c>
      <c r="J110" s="7" t="n">
        <v>15</v>
      </c>
      <c r="K110" s="7" t="n">
        <v>11</v>
      </c>
      <c r="L110" s="7" t="n">
        <f aca="false">+K110+J110</f>
        <v>26</v>
      </c>
    </row>
    <row r="111" customFormat="false" ht="12" hidden="false" customHeight="false" outlineLevel="0" collapsed="false">
      <c r="B111" s="0" t="n">
        <v>106</v>
      </c>
      <c r="C111" s="32" t="n">
        <v>45261</v>
      </c>
      <c r="D111" s="0" t="n">
        <v>1</v>
      </c>
      <c r="E111" s="4" t="s">
        <v>155</v>
      </c>
      <c r="F111" s="10" t="n">
        <v>51</v>
      </c>
      <c r="G111" s="10" t="n">
        <v>55</v>
      </c>
      <c r="H111" s="10" t="n">
        <v>106</v>
      </c>
      <c r="I111" s="33" t="n">
        <v>45801</v>
      </c>
      <c r="J111" s="7" t="n">
        <v>15</v>
      </c>
      <c r="K111" s="7" t="n">
        <v>11</v>
      </c>
      <c r="L111" s="7" t="n">
        <f aca="false">+K111+J111</f>
        <v>26</v>
      </c>
    </row>
    <row r="112" customFormat="false" ht="12" hidden="false" customHeight="false" outlineLevel="0" collapsed="false">
      <c r="B112" s="0" t="n">
        <v>107</v>
      </c>
      <c r="C112" s="32" t="n">
        <v>45261</v>
      </c>
      <c r="D112" s="0" t="n">
        <v>1</v>
      </c>
      <c r="E112" s="4" t="s">
        <v>155</v>
      </c>
      <c r="F112" s="10" t="n">
        <v>52</v>
      </c>
      <c r="G112" s="10" t="n">
        <v>55</v>
      </c>
      <c r="H112" s="10" t="n">
        <v>107</v>
      </c>
      <c r="I112" s="33" t="n">
        <v>45801</v>
      </c>
      <c r="J112" s="7" t="n">
        <v>15</v>
      </c>
      <c r="K112" s="7" t="n">
        <v>11</v>
      </c>
      <c r="L112" s="7" t="n">
        <f aca="false">+K112+J112</f>
        <v>26</v>
      </c>
    </row>
    <row r="113" customFormat="false" ht="12" hidden="false" customHeight="false" outlineLevel="0" collapsed="false">
      <c r="B113" s="0" t="n">
        <v>108</v>
      </c>
      <c r="C113" s="32" t="n">
        <v>45261</v>
      </c>
      <c r="D113" s="0" t="n">
        <v>1</v>
      </c>
      <c r="E113" s="4" t="s">
        <v>155</v>
      </c>
      <c r="F113" s="10" t="n">
        <v>53</v>
      </c>
      <c r="G113" s="10" t="n">
        <v>55</v>
      </c>
      <c r="H113" s="10" t="n">
        <v>108</v>
      </c>
      <c r="I113" s="33" t="n">
        <v>45801</v>
      </c>
      <c r="J113" s="7" t="n">
        <v>16</v>
      </c>
      <c r="K113" s="7" t="n">
        <v>11</v>
      </c>
      <c r="L113" s="7" t="n">
        <f aca="false">+K113+J113</f>
        <v>27</v>
      </c>
    </row>
    <row r="114" customFormat="false" ht="12" hidden="false" customHeight="false" outlineLevel="0" collapsed="false">
      <c r="B114" s="0" t="n">
        <v>109</v>
      </c>
      <c r="C114" s="32" t="n">
        <v>45292</v>
      </c>
      <c r="D114" s="0" t="n">
        <v>0</v>
      </c>
      <c r="E114" s="4" t="s">
        <v>156</v>
      </c>
      <c r="F114" s="10" t="n">
        <v>53</v>
      </c>
      <c r="G114" s="10" t="n">
        <v>56</v>
      </c>
      <c r="H114" s="10" t="n">
        <v>109</v>
      </c>
      <c r="I114" s="33" t="n">
        <v>45832</v>
      </c>
      <c r="J114" s="7" t="n">
        <v>16</v>
      </c>
      <c r="K114" s="7" t="n">
        <v>12</v>
      </c>
      <c r="L114" s="7" t="n">
        <f aca="false">+K114+J114</f>
        <v>28</v>
      </c>
    </row>
    <row r="115" customFormat="false" ht="12" hidden="false" customHeight="false" outlineLevel="0" collapsed="false">
      <c r="B115" s="0" t="n">
        <v>110</v>
      </c>
      <c r="C115" s="32" t="n">
        <v>45292</v>
      </c>
      <c r="D115" s="0" t="n">
        <v>0</v>
      </c>
      <c r="E115" s="4" t="s">
        <v>156</v>
      </c>
      <c r="F115" s="10" t="n">
        <v>53</v>
      </c>
      <c r="G115" s="10" t="n">
        <v>57</v>
      </c>
      <c r="H115" s="10" t="n">
        <v>110</v>
      </c>
      <c r="I115" s="33" t="n">
        <v>45832</v>
      </c>
      <c r="J115" s="7" t="n">
        <v>17</v>
      </c>
      <c r="K115" s="7" t="n">
        <v>12</v>
      </c>
      <c r="L115" s="7" t="n">
        <f aca="false">+K115+J115</f>
        <v>29</v>
      </c>
    </row>
    <row r="116" customFormat="false" ht="12" hidden="false" customHeight="false" outlineLevel="0" collapsed="false">
      <c r="B116" s="0" t="n">
        <v>111</v>
      </c>
      <c r="C116" s="32" t="n">
        <v>45292</v>
      </c>
      <c r="D116" s="0" t="n">
        <v>0</v>
      </c>
      <c r="E116" s="4" t="s">
        <v>156</v>
      </c>
      <c r="F116" s="10" t="n">
        <v>53</v>
      </c>
      <c r="G116" s="10" t="n">
        <v>58</v>
      </c>
      <c r="H116" s="10" t="n">
        <v>111</v>
      </c>
      <c r="I116" s="33" t="n">
        <v>45832</v>
      </c>
      <c r="J116" s="7" t="n">
        <v>17</v>
      </c>
      <c r="K116" s="7" t="n">
        <v>13</v>
      </c>
      <c r="L116" s="7" t="n">
        <f aca="false">+K116+J116</f>
        <v>30</v>
      </c>
    </row>
    <row r="117" customFormat="false" ht="12" hidden="false" customHeight="false" outlineLevel="0" collapsed="false">
      <c r="B117" s="0" t="n">
        <v>112</v>
      </c>
      <c r="C117" s="32" t="n">
        <v>45292</v>
      </c>
      <c r="D117" s="0" t="n">
        <v>1</v>
      </c>
      <c r="E117" s="4" t="s">
        <v>155</v>
      </c>
      <c r="F117" s="10" t="n">
        <v>54</v>
      </c>
      <c r="G117" s="10" t="n">
        <v>58</v>
      </c>
      <c r="H117" s="10" t="n">
        <v>112</v>
      </c>
      <c r="I117" s="33" t="n">
        <v>45832</v>
      </c>
      <c r="J117" s="7" t="n">
        <v>17</v>
      </c>
      <c r="K117" s="7" t="n">
        <v>13</v>
      </c>
      <c r="L117" s="7" t="n">
        <f aca="false">+K117+J117</f>
        <v>30</v>
      </c>
    </row>
    <row r="118" customFormat="false" ht="12" hidden="false" customHeight="false" outlineLevel="0" collapsed="false">
      <c r="B118" s="0" t="n">
        <v>113</v>
      </c>
      <c r="C118" s="32" t="n">
        <v>45292</v>
      </c>
      <c r="D118" s="0" t="n">
        <v>0</v>
      </c>
      <c r="E118" s="4" t="s">
        <v>156</v>
      </c>
      <c r="F118" s="10" t="n">
        <v>54</v>
      </c>
      <c r="G118" s="10" t="n">
        <v>59</v>
      </c>
      <c r="H118" s="10" t="n">
        <v>113</v>
      </c>
      <c r="I118" s="33" t="n">
        <v>45832</v>
      </c>
      <c r="J118" s="7" t="n">
        <v>17</v>
      </c>
      <c r="K118" s="7" t="n">
        <v>13</v>
      </c>
      <c r="L118" s="7" t="n">
        <f aca="false">+K118+J118</f>
        <v>30</v>
      </c>
    </row>
    <row r="119" customFormat="false" ht="12" hidden="false" customHeight="false" outlineLevel="0" collapsed="false">
      <c r="B119" s="0" t="n">
        <v>114</v>
      </c>
      <c r="C119" s="32" t="n">
        <v>45323</v>
      </c>
      <c r="D119" s="0" t="n">
        <v>1</v>
      </c>
      <c r="E119" s="4" t="s">
        <v>155</v>
      </c>
      <c r="F119" s="10" t="n">
        <v>55</v>
      </c>
      <c r="G119" s="10" t="n">
        <v>59</v>
      </c>
      <c r="H119" s="10" t="n">
        <v>114</v>
      </c>
      <c r="I119" s="33" t="n">
        <v>45863</v>
      </c>
      <c r="J119" s="7" t="n">
        <v>17</v>
      </c>
      <c r="K119" s="7" t="n">
        <v>14</v>
      </c>
      <c r="L119" s="7" t="n">
        <f aca="false">+K119+J119</f>
        <v>31</v>
      </c>
    </row>
    <row r="120" customFormat="false" ht="12" hidden="false" customHeight="false" outlineLevel="0" collapsed="false">
      <c r="B120" s="0" t="n">
        <v>115</v>
      </c>
      <c r="C120" s="32" t="n">
        <v>45323</v>
      </c>
      <c r="D120" s="0" t="n">
        <v>1</v>
      </c>
      <c r="E120" s="4" t="s">
        <v>155</v>
      </c>
      <c r="F120" s="10" t="n">
        <v>56</v>
      </c>
      <c r="G120" s="10" t="n">
        <v>59</v>
      </c>
      <c r="H120" s="10" t="n">
        <v>115</v>
      </c>
      <c r="I120" s="33" t="n">
        <v>45863</v>
      </c>
      <c r="J120" s="7" t="n">
        <v>18</v>
      </c>
      <c r="K120" s="7" t="n">
        <v>14</v>
      </c>
      <c r="L120" s="7" t="n">
        <f aca="false">+K120+J120</f>
        <v>32</v>
      </c>
    </row>
    <row r="121" customFormat="false" ht="12" hidden="false" customHeight="false" outlineLevel="0" collapsed="false">
      <c r="B121" s="0" t="n">
        <v>116</v>
      </c>
      <c r="C121" s="32" t="n">
        <v>45323</v>
      </c>
      <c r="D121" s="0" t="n">
        <v>0</v>
      </c>
      <c r="E121" s="4" t="s">
        <v>156</v>
      </c>
      <c r="F121" s="10" t="n">
        <v>56</v>
      </c>
      <c r="G121" s="10" t="n">
        <v>60</v>
      </c>
      <c r="H121" s="10" t="n">
        <v>116</v>
      </c>
      <c r="I121" s="33" t="n">
        <v>45863</v>
      </c>
      <c r="J121" s="7" t="n">
        <v>19</v>
      </c>
      <c r="K121" s="7" t="n">
        <v>14</v>
      </c>
      <c r="L121" s="7" t="n">
        <f aca="false">+K121+J121</f>
        <v>33</v>
      </c>
    </row>
    <row r="122" customFormat="false" ht="12" hidden="false" customHeight="false" outlineLevel="0" collapsed="false">
      <c r="B122" s="0" t="n">
        <v>117</v>
      </c>
      <c r="C122" s="32" t="n">
        <v>45323</v>
      </c>
      <c r="D122" s="0" t="n">
        <v>0</v>
      </c>
      <c r="E122" s="4" t="s">
        <v>156</v>
      </c>
      <c r="F122" s="10" t="n">
        <v>56</v>
      </c>
      <c r="G122" s="10" t="n">
        <v>61</v>
      </c>
      <c r="H122" s="10" t="n">
        <v>117</v>
      </c>
      <c r="I122" s="33" t="n">
        <v>45863</v>
      </c>
      <c r="J122" s="7" t="n">
        <v>19</v>
      </c>
      <c r="K122" s="7" t="n">
        <v>15</v>
      </c>
      <c r="L122" s="7" t="n">
        <f aca="false">+K122+J122</f>
        <v>34</v>
      </c>
    </row>
    <row r="123" customFormat="false" ht="12" hidden="false" customHeight="false" outlineLevel="0" collapsed="false">
      <c r="B123" s="0" t="n">
        <v>118</v>
      </c>
      <c r="C123" s="32" t="n">
        <v>45323</v>
      </c>
      <c r="D123" s="0" t="n">
        <v>1</v>
      </c>
      <c r="E123" s="4" t="s">
        <v>155</v>
      </c>
      <c r="F123" s="10" t="n">
        <v>57</v>
      </c>
      <c r="G123" s="10" t="n">
        <v>61</v>
      </c>
      <c r="H123" s="10" t="n">
        <v>118</v>
      </c>
      <c r="I123" s="33" t="n">
        <v>45863</v>
      </c>
      <c r="J123" s="7" t="n">
        <v>19</v>
      </c>
      <c r="K123" s="7" t="n">
        <v>15</v>
      </c>
      <c r="L123" s="7" t="n">
        <f aca="false">+K123+J123</f>
        <v>34</v>
      </c>
    </row>
    <row r="124" customFormat="false" ht="12" hidden="false" customHeight="false" outlineLevel="0" collapsed="false">
      <c r="B124" s="0" t="n">
        <v>119</v>
      </c>
      <c r="C124" s="32" t="n">
        <v>45352</v>
      </c>
      <c r="D124" s="0" t="n">
        <v>0</v>
      </c>
      <c r="E124" s="4" t="s">
        <v>156</v>
      </c>
      <c r="F124" s="10" t="n">
        <v>57</v>
      </c>
      <c r="G124" s="10" t="n">
        <v>62</v>
      </c>
      <c r="H124" s="10" t="n">
        <v>119</v>
      </c>
      <c r="I124" s="33" t="n">
        <v>45892</v>
      </c>
      <c r="J124" s="7" t="n">
        <v>20</v>
      </c>
      <c r="K124" s="7" t="n">
        <v>15</v>
      </c>
      <c r="L124" s="7" t="n">
        <f aca="false">+K124+J124</f>
        <v>35</v>
      </c>
    </row>
    <row r="125" customFormat="false" ht="12" hidden="false" customHeight="false" outlineLevel="0" collapsed="false">
      <c r="B125" s="0" t="n">
        <v>120</v>
      </c>
      <c r="C125" s="32" t="n">
        <v>45352</v>
      </c>
      <c r="D125" s="0" t="n">
        <v>1</v>
      </c>
      <c r="E125" s="4" t="s">
        <v>155</v>
      </c>
      <c r="F125" s="10" t="n">
        <v>58</v>
      </c>
      <c r="G125" s="10" t="n">
        <v>62</v>
      </c>
      <c r="H125" s="10" t="n">
        <v>120</v>
      </c>
      <c r="I125" s="33" t="n">
        <v>45892</v>
      </c>
      <c r="J125" s="7" t="n">
        <v>21</v>
      </c>
      <c r="K125" s="7" t="n">
        <v>15</v>
      </c>
      <c r="L125" s="7" t="n">
        <f aca="false">+K125+J125</f>
        <v>36</v>
      </c>
    </row>
    <row r="126" customFormat="false" ht="12" hidden="false" customHeight="false" outlineLevel="0" collapsed="false">
      <c r="B126" s="0" t="n">
        <v>121</v>
      </c>
      <c r="C126" s="32" t="n">
        <v>45352</v>
      </c>
      <c r="D126" s="0" t="n">
        <v>0</v>
      </c>
      <c r="E126" s="4" t="s">
        <v>156</v>
      </c>
      <c r="F126" s="10" t="n">
        <v>58</v>
      </c>
      <c r="G126" s="10" t="n">
        <v>63</v>
      </c>
      <c r="H126" s="10" t="n">
        <v>121</v>
      </c>
      <c r="I126" s="33" t="n">
        <v>45892</v>
      </c>
      <c r="J126" s="7" t="n">
        <v>22</v>
      </c>
      <c r="K126" s="7" t="n">
        <v>15</v>
      </c>
      <c r="L126" s="7" t="n">
        <f aca="false">+K126+J126</f>
        <v>37</v>
      </c>
    </row>
    <row r="127" customFormat="false" ht="12" hidden="false" customHeight="false" outlineLevel="0" collapsed="false">
      <c r="B127" s="0" t="n">
        <v>122</v>
      </c>
      <c r="C127" s="32" t="n">
        <v>45352</v>
      </c>
      <c r="D127" s="0" t="n">
        <v>0</v>
      </c>
      <c r="E127" s="4" t="s">
        <v>156</v>
      </c>
      <c r="F127" s="10" t="n">
        <v>58</v>
      </c>
      <c r="G127" s="10" t="n">
        <v>64</v>
      </c>
      <c r="H127" s="10" t="n">
        <v>122</v>
      </c>
      <c r="I127" s="33" t="n">
        <v>45892</v>
      </c>
      <c r="J127" s="7" t="n">
        <v>22</v>
      </c>
      <c r="K127" s="7" t="n">
        <v>16</v>
      </c>
      <c r="L127" s="7" t="n">
        <f aca="false">+K127+J127</f>
        <v>38</v>
      </c>
    </row>
    <row r="128" customFormat="false" ht="12" hidden="false" customHeight="false" outlineLevel="0" collapsed="false">
      <c r="B128" s="0" t="n">
        <v>123</v>
      </c>
      <c r="C128" s="32" t="n">
        <v>45352</v>
      </c>
      <c r="D128" s="0" t="n">
        <v>0</v>
      </c>
      <c r="E128" s="4" t="s">
        <v>156</v>
      </c>
      <c r="F128" s="10" t="n">
        <v>58</v>
      </c>
      <c r="G128" s="10" t="n">
        <v>65</v>
      </c>
      <c r="H128" s="10" t="n">
        <v>123</v>
      </c>
      <c r="I128" s="33" t="n">
        <v>45892</v>
      </c>
      <c r="J128" s="7" t="n">
        <v>22</v>
      </c>
      <c r="K128" s="7" t="n">
        <v>16</v>
      </c>
      <c r="L128" s="7" t="n">
        <f aca="false">+K128+J128</f>
        <v>38</v>
      </c>
    </row>
    <row r="129" customFormat="false" ht="12" hidden="false" customHeight="false" outlineLevel="0" collapsed="false">
      <c r="B129" s="0" t="n">
        <v>124</v>
      </c>
      <c r="C129" s="32" t="n">
        <v>45383</v>
      </c>
      <c r="D129" s="0" t="n">
        <v>1</v>
      </c>
      <c r="E129" s="4" t="s">
        <v>155</v>
      </c>
      <c r="F129" s="10" t="n">
        <v>59</v>
      </c>
      <c r="G129" s="10" t="n">
        <v>65</v>
      </c>
      <c r="H129" s="10" t="n">
        <v>124</v>
      </c>
      <c r="I129" s="33" t="n">
        <v>45923</v>
      </c>
      <c r="J129" s="7" t="n">
        <v>23</v>
      </c>
      <c r="K129" s="7" t="n">
        <v>16</v>
      </c>
      <c r="L129" s="7" t="n">
        <f aca="false">+K129+J129</f>
        <v>39</v>
      </c>
    </row>
    <row r="130" customFormat="false" ht="12" hidden="false" customHeight="false" outlineLevel="0" collapsed="false">
      <c r="B130" s="0" t="n">
        <v>125</v>
      </c>
      <c r="C130" s="32" t="n">
        <v>45383</v>
      </c>
      <c r="D130" s="0" t="n">
        <v>0</v>
      </c>
      <c r="E130" s="4" t="s">
        <v>156</v>
      </c>
      <c r="F130" s="10" t="n">
        <v>59</v>
      </c>
      <c r="G130" s="10" t="n">
        <v>66</v>
      </c>
      <c r="H130" s="10" t="n">
        <v>125</v>
      </c>
      <c r="I130" s="33" t="n">
        <v>45923</v>
      </c>
      <c r="J130" s="7" t="n">
        <v>23</v>
      </c>
      <c r="K130" s="7" t="n">
        <v>17</v>
      </c>
      <c r="L130" s="7" t="n">
        <f aca="false">+K130+J130</f>
        <v>40</v>
      </c>
    </row>
    <row r="131" customFormat="false" ht="12" hidden="false" customHeight="false" outlineLevel="0" collapsed="false">
      <c r="B131" s="0" t="n">
        <v>126</v>
      </c>
      <c r="C131" s="32" t="n">
        <v>45383</v>
      </c>
      <c r="D131" s="0" t="n">
        <v>1</v>
      </c>
      <c r="E131" s="4" t="s">
        <v>155</v>
      </c>
      <c r="F131" s="10" t="n">
        <v>60</v>
      </c>
      <c r="G131" s="10" t="n">
        <v>66</v>
      </c>
      <c r="H131" s="10" t="n">
        <v>126</v>
      </c>
      <c r="I131" s="33" t="n">
        <v>45923</v>
      </c>
      <c r="J131" s="7" t="n">
        <v>23</v>
      </c>
      <c r="K131" s="7" t="n">
        <v>18</v>
      </c>
      <c r="L131" s="7" t="n">
        <f aca="false">+K131+J131</f>
        <v>41</v>
      </c>
    </row>
    <row r="132" customFormat="false" ht="12" hidden="false" customHeight="false" outlineLevel="0" collapsed="false">
      <c r="B132" s="0" t="n">
        <v>127</v>
      </c>
      <c r="C132" s="32" t="n">
        <v>45383</v>
      </c>
      <c r="D132" s="0" t="n">
        <v>1</v>
      </c>
      <c r="E132" s="4" t="s">
        <v>155</v>
      </c>
      <c r="F132" s="10" t="n">
        <v>61</v>
      </c>
      <c r="G132" s="10" t="n">
        <v>66</v>
      </c>
      <c r="H132" s="10" t="n">
        <v>127</v>
      </c>
      <c r="I132" s="33" t="n">
        <v>45923</v>
      </c>
      <c r="J132" s="7" t="n">
        <v>23</v>
      </c>
      <c r="K132" s="7" t="n">
        <v>20</v>
      </c>
      <c r="L132" s="7" t="n">
        <f aca="false">+K132+J132</f>
        <v>43</v>
      </c>
    </row>
    <row r="133" customFormat="false" ht="12" hidden="false" customHeight="false" outlineLevel="0" collapsed="false">
      <c r="C133" s="32" t="n">
        <v>45413</v>
      </c>
      <c r="J133" s="7" t="n">
        <v>24</v>
      </c>
      <c r="K133" s="7" t="n">
        <v>24</v>
      </c>
      <c r="L133" s="7" t="n">
        <f aca="false">+K133+J133</f>
        <v>48</v>
      </c>
    </row>
    <row r="134" customFormat="false" ht="12" hidden="false" customHeight="false" outlineLevel="0" collapsed="false">
      <c r="C134" s="32" t="n">
        <v>45444</v>
      </c>
      <c r="J134" s="7" t="n">
        <v>27</v>
      </c>
      <c r="K134" s="7" t="n">
        <v>26</v>
      </c>
      <c r="L134" s="7" t="n">
        <f aca="false">+K134+J134</f>
        <v>53</v>
      </c>
    </row>
    <row r="135" customFormat="false" ht="12" hidden="false" customHeight="false" outlineLevel="0" collapsed="false">
      <c r="C135" s="32" t="n">
        <v>45474</v>
      </c>
      <c r="J135" s="7" t="n">
        <f aca="false">+J134+2</f>
        <v>29</v>
      </c>
      <c r="K135" s="7" t="n">
        <f aca="false">+K134+3</f>
        <v>29</v>
      </c>
      <c r="L135" s="7" t="n">
        <f aca="false">+K135+J135</f>
        <v>58</v>
      </c>
    </row>
    <row r="136" s="18" customFormat="true" ht="12.75" hidden="false" customHeight="true" outlineLevel="0" collapsed="false">
      <c r="C136" s="28" t="n">
        <v>45505</v>
      </c>
      <c r="F136" s="29"/>
      <c r="G136" s="29"/>
      <c r="H136" s="29"/>
      <c r="I136" s="29"/>
      <c r="J136" s="31" t="n">
        <f aca="false">+J135+4</f>
        <v>33</v>
      </c>
      <c r="K136" s="31" t="n">
        <f aca="false">+K135+1</f>
        <v>30</v>
      </c>
      <c r="L136" s="31" t="n">
        <f aca="false">+K136+J136</f>
        <v>63</v>
      </c>
    </row>
    <row r="137" customFormat="false" ht="12" hidden="false" customHeight="false" outlineLevel="0" collapsed="false">
      <c r="C137" s="32" t="n">
        <v>45536</v>
      </c>
      <c r="J137" s="7" t="n">
        <f aca="false">+J136</f>
        <v>33</v>
      </c>
      <c r="K137" s="7" t="n">
        <f aca="false">+K136+5</f>
        <v>35</v>
      </c>
      <c r="L137" s="7" t="n">
        <f aca="false">+K137+J137</f>
        <v>68</v>
      </c>
    </row>
    <row r="138" customFormat="false" ht="12" hidden="false" customHeight="false" outlineLevel="0" collapsed="false">
      <c r="C138" s="32" t="n">
        <v>45566</v>
      </c>
      <c r="J138" s="7" t="n">
        <f aca="false">+J137+3</f>
        <v>36</v>
      </c>
      <c r="K138" s="7" t="n">
        <f aca="false">+K137+2</f>
        <v>37</v>
      </c>
      <c r="L138" s="7" t="n">
        <f aca="false">+K138+J138</f>
        <v>73</v>
      </c>
    </row>
    <row r="139" customFormat="false" ht="12" hidden="false" customHeight="false" outlineLevel="0" collapsed="false">
      <c r="C139" s="32" t="n">
        <v>45597</v>
      </c>
      <c r="J139" s="7" t="n">
        <f aca="false">+J138+2</f>
        <v>38</v>
      </c>
      <c r="K139" s="7" t="n">
        <f aca="false">+K138+3</f>
        <v>40</v>
      </c>
      <c r="L139" s="7" t="n">
        <f aca="false">+K139+J139</f>
        <v>78</v>
      </c>
    </row>
    <row r="140" s="18" customFormat="true" ht="12.75" hidden="false" customHeight="true" outlineLevel="0" collapsed="false">
      <c r="C140" s="28" t="n">
        <v>45627</v>
      </c>
      <c r="F140" s="29"/>
      <c r="G140" s="29"/>
      <c r="H140" s="29"/>
      <c r="I140" s="29"/>
      <c r="J140" s="31" t="n">
        <f aca="false">+J139+2</f>
        <v>40</v>
      </c>
      <c r="K140" s="31" t="n">
        <f aca="false">+K139+3</f>
        <v>43</v>
      </c>
      <c r="L140" s="31" t="n">
        <f aca="false">+K140+J140</f>
        <v>83</v>
      </c>
    </row>
    <row r="141" customFormat="false" ht="12" hidden="false" customHeight="false" outlineLevel="0" collapsed="false">
      <c r="C141" s="32" t="n">
        <v>45658</v>
      </c>
    </row>
    <row r="142" customFormat="false" ht="12" hidden="false" customHeight="false" outlineLevel="0" collapsed="false">
      <c r="C142" s="32" t="n">
        <v>45689</v>
      </c>
    </row>
    <row r="143" customFormat="false" ht="12" hidden="false" customHeight="false" outlineLevel="0" collapsed="false">
      <c r="C143" s="32" t="n">
        <v>45717</v>
      </c>
    </row>
    <row r="144" customFormat="false" ht="12" hidden="false" customHeight="false" outlineLevel="0" collapsed="false">
      <c r="C144" s="32" t="n">
        <v>45748</v>
      </c>
    </row>
    <row r="145" customFormat="false" ht="12" hidden="false" customHeight="false" outlineLevel="0" collapsed="false">
      <c r="C145" s="32" t="n">
        <v>45778</v>
      </c>
    </row>
    <row r="146" customFormat="false" ht="12" hidden="false" customHeight="false" outlineLevel="0" collapsed="false">
      <c r="C146" s="32" t="n">
        <v>45809</v>
      </c>
    </row>
    <row r="147" customFormat="false" ht="12" hidden="false" customHeight="false" outlineLevel="0" collapsed="false">
      <c r="C147" s="32" t="n">
        <v>45839</v>
      </c>
    </row>
    <row r="148" customFormat="false" ht="12" hidden="false" customHeight="false" outlineLevel="0" collapsed="false">
      <c r="C148" s="32" t="n">
        <v>45870</v>
      </c>
    </row>
    <row r="149" customFormat="false" ht="12" hidden="false" customHeight="false" outlineLevel="0" collapsed="false">
      <c r="C149" s="32" t="n">
        <v>45901</v>
      </c>
    </row>
    <row r="150" customFormat="false" ht="12" hidden="false" customHeight="false" outlineLevel="0" collapsed="false">
      <c r="C150" s="32" t="n">
        <v>45931</v>
      </c>
    </row>
    <row r="151" customFormat="false" ht="12" hidden="false" customHeight="false" outlineLevel="0" collapsed="false">
      <c r="C151" s="32" t="n">
        <v>45962</v>
      </c>
    </row>
    <row r="152" customFormat="false" ht="12" hidden="false" customHeight="false" outlineLevel="0" collapsed="false">
      <c r="C152" s="32" t="n">
        <v>45992</v>
      </c>
    </row>
  </sheetData>
  <mergeCells count="1">
    <mergeCell ref="J4:L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2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pane xSplit="2" ySplit="5" topLeftCell="C120" activePane="bottomRight" state="frozen"/>
      <selection pane="topLeft" activeCell="A1" activeCellId="0" sqref="A1"/>
      <selection pane="topRight" activeCell="C1" activeCellId="0" sqref="C1"/>
      <selection pane="bottomLeft" activeCell="A120" activeCellId="0" sqref="A120"/>
      <selection pane="bottomRight" activeCell="C2" activeCellId="0" sqref="C2"/>
    </sheetView>
  </sheetViews>
  <sheetFormatPr defaultColWidth="8.6796875" defaultRowHeight="12" zeroHeight="false" outlineLevelRow="0" outlineLevelCol="0"/>
  <cols>
    <col collapsed="false" customWidth="true" hidden="false" outlineLevel="0" max="3" min="3" style="0" width="9.63"/>
    <col collapsed="false" customWidth="true" hidden="false" outlineLevel="0" max="9" min="9" style="0" width="9.91"/>
    <col collapsed="false" customWidth="false" hidden="false" outlineLevel="0" max="12" min="10" style="7" width="8.73"/>
  </cols>
  <sheetData>
    <row r="2" customFormat="false" ht="12" hidden="false" customHeight="false" outlineLevel="0" collapsed="false">
      <c r="B2" s="0" t="s">
        <v>145</v>
      </c>
      <c r="C2" s="0" t="n">
        <v>24</v>
      </c>
      <c r="E2" s="0" t="s">
        <v>146</v>
      </c>
    </row>
    <row r="3" customFormat="false" ht="12" hidden="false" customHeight="false" outlineLevel="0" collapsed="false">
      <c r="B3" s="0" t="s">
        <v>145</v>
      </c>
      <c r="C3" s="0" t="n">
        <v>24</v>
      </c>
      <c r="E3" s="0" t="s">
        <v>140</v>
      </c>
    </row>
    <row r="4" customFormat="false" ht="12" hidden="false" customHeight="false" outlineLevel="0" collapsed="false">
      <c r="J4" s="24" t="s">
        <v>139</v>
      </c>
      <c r="K4" s="24"/>
      <c r="L4" s="24"/>
    </row>
    <row r="5" customFormat="false" ht="12" hidden="false" customHeight="false" outlineLevel="0" collapsed="false">
      <c r="B5" s="0" t="s">
        <v>148</v>
      </c>
      <c r="C5" s="0" t="s">
        <v>149</v>
      </c>
      <c r="D5" s="0" t="s">
        <v>150</v>
      </c>
      <c r="E5" s="0" t="s">
        <v>151</v>
      </c>
      <c r="F5" s="0" t="s">
        <v>146</v>
      </c>
      <c r="G5" s="0" t="s">
        <v>152</v>
      </c>
      <c r="H5" s="0" t="s">
        <v>135</v>
      </c>
      <c r="I5" s="0" t="s">
        <v>153</v>
      </c>
      <c r="J5" s="7" t="s">
        <v>146</v>
      </c>
      <c r="K5" s="7" t="s">
        <v>140</v>
      </c>
      <c r="L5" s="7" t="s">
        <v>135</v>
      </c>
    </row>
    <row r="6" s="18" customFormat="true" ht="12.75" hidden="false" customHeight="true" outlineLevel="0" collapsed="false">
      <c r="B6" s="18" t="n">
        <v>1</v>
      </c>
      <c r="C6" s="28" t="n">
        <v>44197</v>
      </c>
      <c r="D6" s="18" t="n">
        <v>1</v>
      </c>
      <c r="E6" s="18" t="s">
        <v>155</v>
      </c>
      <c r="F6" s="18" t="n">
        <v>1</v>
      </c>
      <c r="G6" s="18" t="n">
        <v>0</v>
      </c>
      <c r="H6" s="18" t="n">
        <v>1</v>
      </c>
      <c r="I6" s="28" t="n">
        <v>44917</v>
      </c>
      <c r="J6" s="31" t="n">
        <v>0</v>
      </c>
      <c r="K6" s="31" t="n">
        <v>0</v>
      </c>
      <c r="L6" s="31" t="n">
        <f aca="false">+K6+J6</f>
        <v>0</v>
      </c>
    </row>
    <row r="7" s="18" customFormat="true" ht="12.75" hidden="false" customHeight="true" outlineLevel="0" collapsed="false">
      <c r="B7" s="18" t="n">
        <v>2</v>
      </c>
      <c r="C7" s="28" t="n">
        <v>44228</v>
      </c>
      <c r="D7" s="18" t="n">
        <v>0</v>
      </c>
      <c r="E7" s="18" t="s">
        <v>156</v>
      </c>
      <c r="F7" s="18" t="n">
        <v>1</v>
      </c>
      <c r="G7" s="18" t="n">
        <v>1</v>
      </c>
      <c r="H7" s="18" t="n">
        <v>2</v>
      </c>
      <c r="I7" s="28" t="n">
        <v>44948</v>
      </c>
      <c r="J7" s="31" t="n">
        <v>0</v>
      </c>
      <c r="K7" s="31" t="n">
        <v>0</v>
      </c>
      <c r="L7" s="31" t="n">
        <f aca="false">+K7+J7</f>
        <v>0</v>
      </c>
    </row>
    <row r="8" s="18" customFormat="true" ht="12.75" hidden="false" customHeight="true" outlineLevel="0" collapsed="false">
      <c r="B8" s="18" t="n">
        <v>3</v>
      </c>
      <c r="C8" s="28" t="n">
        <v>44256</v>
      </c>
      <c r="D8" s="18" t="n">
        <v>0</v>
      </c>
      <c r="E8" s="18" t="s">
        <v>156</v>
      </c>
      <c r="F8" s="18" t="n">
        <v>1</v>
      </c>
      <c r="G8" s="18" t="n">
        <v>2</v>
      </c>
      <c r="H8" s="18" t="n">
        <v>3</v>
      </c>
      <c r="I8" s="28" t="n">
        <v>44976</v>
      </c>
      <c r="J8" s="31" t="n">
        <v>0</v>
      </c>
      <c r="K8" s="31" t="n">
        <v>0</v>
      </c>
      <c r="L8" s="31" t="n">
        <f aca="false">+K8+J8</f>
        <v>0</v>
      </c>
    </row>
    <row r="9" s="18" customFormat="true" ht="12.75" hidden="false" customHeight="true" outlineLevel="0" collapsed="false">
      <c r="B9" s="18" t="n">
        <v>4</v>
      </c>
      <c r="C9" s="28" t="n">
        <v>44287</v>
      </c>
      <c r="D9" s="18" t="n">
        <v>1</v>
      </c>
      <c r="E9" s="18" t="s">
        <v>155</v>
      </c>
      <c r="F9" s="18" t="n">
        <v>2</v>
      </c>
      <c r="G9" s="18" t="n">
        <v>2</v>
      </c>
      <c r="H9" s="18" t="n">
        <v>4</v>
      </c>
      <c r="I9" s="28" t="n">
        <v>45007</v>
      </c>
      <c r="J9" s="31" t="n">
        <v>0</v>
      </c>
      <c r="K9" s="31" t="n">
        <v>0</v>
      </c>
      <c r="L9" s="31" t="n">
        <f aca="false">+K9+J9</f>
        <v>0</v>
      </c>
    </row>
    <row r="10" s="18" customFormat="true" ht="12.75" hidden="false" customHeight="true" outlineLevel="0" collapsed="false">
      <c r="B10" s="18" t="n">
        <v>5</v>
      </c>
      <c r="C10" s="28" t="n">
        <v>44317</v>
      </c>
      <c r="D10" s="18" t="n">
        <v>0</v>
      </c>
      <c r="E10" s="18" t="s">
        <v>156</v>
      </c>
      <c r="F10" s="18" t="n">
        <v>2</v>
      </c>
      <c r="G10" s="18" t="n">
        <v>3</v>
      </c>
      <c r="H10" s="18" t="n">
        <v>5</v>
      </c>
      <c r="I10" s="28" t="n">
        <v>45037</v>
      </c>
      <c r="J10" s="31" t="n">
        <v>0</v>
      </c>
      <c r="K10" s="31" t="n">
        <v>0</v>
      </c>
      <c r="L10" s="31" t="n">
        <f aca="false">+K10+J10</f>
        <v>0</v>
      </c>
    </row>
    <row r="11" s="18" customFormat="true" ht="12.75" hidden="false" customHeight="true" outlineLevel="0" collapsed="false">
      <c r="B11" s="18" t="n">
        <v>6</v>
      </c>
      <c r="C11" s="28" t="n">
        <v>44348</v>
      </c>
      <c r="D11" s="18" t="n">
        <v>0</v>
      </c>
      <c r="E11" s="18" t="s">
        <v>156</v>
      </c>
      <c r="F11" s="18" t="n">
        <v>2</v>
      </c>
      <c r="G11" s="18" t="n">
        <v>4</v>
      </c>
      <c r="H11" s="18" t="n">
        <v>6</v>
      </c>
      <c r="I11" s="28" t="n">
        <v>45068</v>
      </c>
      <c r="J11" s="31" t="n">
        <v>0</v>
      </c>
      <c r="K11" s="31" t="n">
        <v>0</v>
      </c>
      <c r="L11" s="31" t="n">
        <f aca="false">+K11+J11</f>
        <v>0</v>
      </c>
    </row>
    <row r="12" s="18" customFormat="true" ht="12.75" hidden="false" customHeight="true" outlineLevel="0" collapsed="false">
      <c r="B12" s="18" t="n">
        <v>7</v>
      </c>
      <c r="C12" s="28" t="n">
        <v>44378</v>
      </c>
      <c r="D12" s="18" t="n">
        <v>1</v>
      </c>
      <c r="E12" s="18" t="s">
        <v>155</v>
      </c>
      <c r="F12" s="18" t="n">
        <v>3</v>
      </c>
      <c r="G12" s="18" t="n">
        <v>4</v>
      </c>
      <c r="H12" s="18" t="n">
        <v>7</v>
      </c>
      <c r="I12" s="28" t="n">
        <v>45098</v>
      </c>
      <c r="J12" s="31" t="n">
        <v>0</v>
      </c>
      <c r="K12" s="31" t="n">
        <v>0</v>
      </c>
      <c r="L12" s="31" t="n">
        <f aca="false">+K12+J12</f>
        <v>0</v>
      </c>
    </row>
    <row r="13" s="18" customFormat="true" ht="12.75" hidden="false" customHeight="true" outlineLevel="0" collapsed="false">
      <c r="B13" s="18" t="n">
        <v>8</v>
      </c>
      <c r="C13" s="28" t="n">
        <v>44409</v>
      </c>
      <c r="D13" s="18" t="n">
        <v>1</v>
      </c>
      <c r="E13" s="18" t="s">
        <v>155</v>
      </c>
      <c r="F13" s="18" t="n">
        <v>4</v>
      </c>
      <c r="G13" s="18" t="n">
        <v>4</v>
      </c>
      <c r="H13" s="18" t="n">
        <v>8</v>
      </c>
      <c r="I13" s="28" t="n">
        <v>45129</v>
      </c>
      <c r="J13" s="31" t="n">
        <v>0</v>
      </c>
      <c r="K13" s="31" t="n">
        <v>0</v>
      </c>
      <c r="L13" s="31" t="n">
        <f aca="false">+K13+J13</f>
        <v>0</v>
      </c>
    </row>
    <row r="14" s="18" customFormat="true" ht="12.75" hidden="false" customHeight="true" outlineLevel="0" collapsed="false">
      <c r="B14" s="18" t="n">
        <v>9</v>
      </c>
      <c r="C14" s="28" t="n">
        <v>44440</v>
      </c>
      <c r="D14" s="18" t="n">
        <v>0</v>
      </c>
      <c r="E14" s="18" t="s">
        <v>156</v>
      </c>
      <c r="F14" s="18" t="n">
        <v>4</v>
      </c>
      <c r="G14" s="18" t="n">
        <v>5</v>
      </c>
      <c r="H14" s="18" t="n">
        <v>9</v>
      </c>
      <c r="I14" s="28" t="n">
        <v>45160</v>
      </c>
      <c r="J14" s="31" t="n">
        <v>0</v>
      </c>
      <c r="K14" s="31" t="n">
        <v>0</v>
      </c>
      <c r="L14" s="31" t="n">
        <f aca="false">+K14+J14</f>
        <v>0</v>
      </c>
    </row>
    <row r="15" s="18" customFormat="true" ht="12.75" hidden="false" customHeight="true" outlineLevel="0" collapsed="false">
      <c r="B15" s="18" t="n">
        <v>10</v>
      </c>
      <c r="C15" s="28" t="n">
        <v>44470</v>
      </c>
      <c r="D15" s="18" t="n">
        <v>1</v>
      </c>
      <c r="E15" s="18" t="s">
        <v>155</v>
      </c>
      <c r="F15" s="18" t="n">
        <v>5</v>
      </c>
      <c r="G15" s="18" t="n">
        <v>5</v>
      </c>
      <c r="H15" s="18" t="n">
        <v>10</v>
      </c>
      <c r="I15" s="28" t="n">
        <v>45190</v>
      </c>
      <c r="J15" s="31" t="n">
        <v>0</v>
      </c>
      <c r="K15" s="31" t="n">
        <v>0</v>
      </c>
      <c r="L15" s="31" t="n">
        <f aca="false">+K15+J15</f>
        <v>0</v>
      </c>
    </row>
    <row r="16" s="18" customFormat="true" ht="12.75" hidden="false" customHeight="true" outlineLevel="0" collapsed="false">
      <c r="B16" s="18" t="n">
        <v>11</v>
      </c>
      <c r="C16" s="28" t="n">
        <v>44501</v>
      </c>
      <c r="D16" s="18" t="n">
        <v>1</v>
      </c>
      <c r="E16" s="18" t="s">
        <v>155</v>
      </c>
      <c r="F16" s="18" t="n">
        <v>6</v>
      </c>
      <c r="G16" s="18" t="n">
        <v>5</v>
      </c>
      <c r="H16" s="18" t="n">
        <v>11</v>
      </c>
      <c r="I16" s="28" t="n">
        <v>45221</v>
      </c>
      <c r="J16" s="31" t="n">
        <v>0</v>
      </c>
      <c r="K16" s="31" t="n">
        <v>0</v>
      </c>
      <c r="L16" s="31" t="n">
        <f aca="false">+K16+J16</f>
        <v>0</v>
      </c>
    </row>
    <row r="17" s="18" customFormat="true" ht="12.75" hidden="false" customHeight="true" outlineLevel="0" collapsed="false">
      <c r="B17" s="18" t="n">
        <v>12</v>
      </c>
      <c r="C17" s="28" t="n">
        <v>44531</v>
      </c>
      <c r="D17" s="18" t="n">
        <v>1</v>
      </c>
      <c r="E17" s="18" t="s">
        <v>155</v>
      </c>
      <c r="F17" s="18" t="n">
        <v>7</v>
      </c>
      <c r="G17" s="18" t="n">
        <v>5</v>
      </c>
      <c r="H17" s="18" t="n">
        <v>12</v>
      </c>
      <c r="I17" s="28" t="n">
        <v>45251</v>
      </c>
      <c r="J17" s="31" t="n">
        <v>0</v>
      </c>
      <c r="K17" s="31" t="n">
        <v>0</v>
      </c>
      <c r="L17" s="31" t="n">
        <f aca="false">+K17+J17</f>
        <v>0</v>
      </c>
    </row>
    <row r="18" s="18" customFormat="true" ht="12.75" hidden="false" customHeight="true" outlineLevel="0" collapsed="false">
      <c r="B18" s="18" t="n">
        <v>13</v>
      </c>
      <c r="C18" s="28" t="n">
        <v>44562</v>
      </c>
      <c r="D18" s="18" t="n">
        <v>1</v>
      </c>
      <c r="E18" s="18" t="s">
        <v>155</v>
      </c>
      <c r="F18" s="18" t="n">
        <v>8</v>
      </c>
      <c r="G18" s="18" t="n">
        <v>5</v>
      </c>
      <c r="H18" s="18" t="n">
        <v>13</v>
      </c>
      <c r="I18" s="28" t="n">
        <v>45282</v>
      </c>
      <c r="J18" s="31" t="n">
        <v>0</v>
      </c>
      <c r="K18" s="31" t="n">
        <v>0</v>
      </c>
      <c r="L18" s="31" t="n">
        <f aca="false">+K18+J18</f>
        <v>0</v>
      </c>
    </row>
    <row r="19" s="18" customFormat="true" ht="12.75" hidden="false" customHeight="true" outlineLevel="0" collapsed="false">
      <c r="B19" s="18" t="n">
        <v>14</v>
      </c>
      <c r="C19" s="28" t="n">
        <v>44593</v>
      </c>
      <c r="D19" s="18" t="n">
        <v>1</v>
      </c>
      <c r="E19" s="18" t="s">
        <v>155</v>
      </c>
      <c r="F19" s="18" t="n">
        <v>9</v>
      </c>
      <c r="G19" s="18" t="n">
        <v>5</v>
      </c>
      <c r="H19" s="18" t="n">
        <v>14</v>
      </c>
      <c r="I19" s="28" t="n">
        <v>45313</v>
      </c>
      <c r="J19" s="31" t="n">
        <v>0</v>
      </c>
      <c r="K19" s="31" t="n">
        <v>0</v>
      </c>
      <c r="L19" s="31" t="n">
        <f aca="false">+K19+J19</f>
        <v>0</v>
      </c>
    </row>
    <row r="20" s="18" customFormat="true" ht="12.75" hidden="false" customHeight="true" outlineLevel="0" collapsed="false">
      <c r="B20" s="18" t="n">
        <v>15</v>
      </c>
      <c r="C20" s="28" t="n">
        <v>44621</v>
      </c>
      <c r="D20" s="18" t="n">
        <v>0</v>
      </c>
      <c r="E20" s="18" t="s">
        <v>156</v>
      </c>
      <c r="F20" s="18" t="n">
        <v>9</v>
      </c>
      <c r="G20" s="18" t="n">
        <v>6</v>
      </c>
      <c r="H20" s="18" t="n">
        <v>15</v>
      </c>
      <c r="I20" s="28" t="n">
        <v>45341</v>
      </c>
      <c r="J20" s="31" t="n">
        <v>0</v>
      </c>
      <c r="K20" s="31" t="n">
        <v>0</v>
      </c>
      <c r="L20" s="31" t="n">
        <f aca="false">+K20+J20</f>
        <v>0</v>
      </c>
    </row>
    <row r="21" s="18" customFormat="true" ht="12.75" hidden="false" customHeight="true" outlineLevel="0" collapsed="false">
      <c r="B21" s="18" t="n">
        <v>16</v>
      </c>
      <c r="C21" s="28" t="n">
        <v>44621</v>
      </c>
      <c r="D21" s="18" t="n">
        <v>0</v>
      </c>
      <c r="E21" s="18" t="s">
        <v>156</v>
      </c>
      <c r="F21" s="18" t="n">
        <v>9</v>
      </c>
      <c r="G21" s="18" t="n">
        <v>7</v>
      </c>
      <c r="H21" s="18" t="n">
        <v>16</v>
      </c>
      <c r="I21" s="28" t="n">
        <v>45341</v>
      </c>
      <c r="J21" s="31" t="n">
        <v>0</v>
      </c>
      <c r="K21" s="31" t="n">
        <v>0</v>
      </c>
      <c r="L21" s="31" t="n">
        <f aca="false">+K21+J21</f>
        <v>0</v>
      </c>
    </row>
    <row r="22" s="18" customFormat="true" ht="12.75" hidden="false" customHeight="true" outlineLevel="0" collapsed="false">
      <c r="B22" s="18" t="n">
        <v>17</v>
      </c>
      <c r="C22" s="28" t="n">
        <v>44652</v>
      </c>
      <c r="D22" s="18" t="n">
        <v>1</v>
      </c>
      <c r="E22" s="18" t="s">
        <v>155</v>
      </c>
      <c r="F22" s="18" t="n">
        <v>10</v>
      </c>
      <c r="G22" s="18" t="n">
        <v>7</v>
      </c>
      <c r="H22" s="18" t="n">
        <v>17</v>
      </c>
      <c r="I22" s="28" t="n">
        <v>45372</v>
      </c>
      <c r="J22" s="31" t="n">
        <v>0</v>
      </c>
      <c r="K22" s="31" t="n">
        <v>0</v>
      </c>
      <c r="L22" s="31" t="n">
        <f aca="false">+K22+J22</f>
        <v>0</v>
      </c>
    </row>
    <row r="23" s="18" customFormat="true" ht="12.75" hidden="false" customHeight="true" outlineLevel="0" collapsed="false">
      <c r="B23" s="18" t="n">
        <v>18</v>
      </c>
      <c r="C23" s="28" t="n">
        <v>44652</v>
      </c>
      <c r="D23" s="18" t="n">
        <v>0</v>
      </c>
      <c r="E23" s="18" t="s">
        <v>156</v>
      </c>
      <c r="F23" s="18" t="n">
        <v>10</v>
      </c>
      <c r="G23" s="18" t="n">
        <v>8</v>
      </c>
      <c r="H23" s="18" t="n">
        <v>18</v>
      </c>
      <c r="I23" s="28" t="n">
        <v>45372</v>
      </c>
      <c r="J23" s="31" t="n">
        <v>0</v>
      </c>
      <c r="K23" s="31" t="n">
        <v>0</v>
      </c>
      <c r="L23" s="31" t="n">
        <f aca="false">+K23+J23</f>
        <v>0</v>
      </c>
    </row>
    <row r="24" s="18" customFormat="true" ht="12.75" hidden="false" customHeight="true" outlineLevel="0" collapsed="false">
      <c r="B24" s="18" t="n">
        <v>19</v>
      </c>
      <c r="C24" s="28" t="n">
        <v>44682</v>
      </c>
      <c r="D24" s="18" t="n">
        <v>0</v>
      </c>
      <c r="E24" s="18" t="s">
        <v>156</v>
      </c>
      <c r="F24" s="18" t="n">
        <v>10</v>
      </c>
      <c r="G24" s="18" t="n">
        <v>9</v>
      </c>
      <c r="H24" s="18" t="n">
        <v>19</v>
      </c>
      <c r="I24" s="28" t="n">
        <v>45402</v>
      </c>
      <c r="J24" s="31" t="n">
        <v>0</v>
      </c>
      <c r="K24" s="31" t="n">
        <v>0</v>
      </c>
      <c r="L24" s="31" t="n">
        <f aca="false">+K24+J24</f>
        <v>0</v>
      </c>
    </row>
    <row r="25" s="18" customFormat="true" ht="12.75" hidden="false" customHeight="true" outlineLevel="0" collapsed="false">
      <c r="B25" s="18" t="n">
        <v>20</v>
      </c>
      <c r="C25" s="28" t="n">
        <v>44682</v>
      </c>
      <c r="D25" s="18" t="n">
        <v>1</v>
      </c>
      <c r="E25" s="18" t="s">
        <v>155</v>
      </c>
      <c r="F25" s="18" t="n">
        <v>11</v>
      </c>
      <c r="G25" s="18" t="n">
        <v>9</v>
      </c>
      <c r="H25" s="18" t="n">
        <v>20</v>
      </c>
      <c r="I25" s="28" t="n">
        <v>45402</v>
      </c>
      <c r="J25" s="31" t="n">
        <v>0</v>
      </c>
      <c r="K25" s="31" t="n">
        <v>0</v>
      </c>
      <c r="L25" s="31" t="n">
        <f aca="false">+K25+J25</f>
        <v>0</v>
      </c>
    </row>
    <row r="26" s="18" customFormat="true" ht="12.75" hidden="false" customHeight="true" outlineLevel="0" collapsed="false">
      <c r="B26" s="18" t="n">
        <v>21</v>
      </c>
      <c r="C26" s="28" t="n">
        <v>44682</v>
      </c>
      <c r="D26" s="18" t="n">
        <v>0</v>
      </c>
      <c r="E26" s="18" t="s">
        <v>156</v>
      </c>
      <c r="F26" s="18" t="n">
        <v>11</v>
      </c>
      <c r="G26" s="18" t="n">
        <v>10</v>
      </c>
      <c r="H26" s="18" t="n">
        <v>21</v>
      </c>
      <c r="I26" s="28" t="n">
        <v>45402</v>
      </c>
      <c r="J26" s="31" t="n">
        <v>0</v>
      </c>
      <c r="K26" s="31" t="n">
        <v>0</v>
      </c>
      <c r="L26" s="31" t="n">
        <f aca="false">+K26+J26</f>
        <v>0</v>
      </c>
    </row>
    <row r="27" s="18" customFormat="true" ht="12.75" hidden="false" customHeight="true" outlineLevel="0" collapsed="false">
      <c r="B27" s="18" t="n">
        <v>22</v>
      </c>
      <c r="C27" s="28" t="n">
        <v>44713</v>
      </c>
      <c r="D27" s="18" t="n">
        <v>0</v>
      </c>
      <c r="E27" s="18" t="s">
        <v>156</v>
      </c>
      <c r="F27" s="18" t="n">
        <v>11</v>
      </c>
      <c r="G27" s="18" t="n">
        <v>11</v>
      </c>
      <c r="H27" s="18" t="n">
        <v>22</v>
      </c>
      <c r="I27" s="28" t="n">
        <v>45433</v>
      </c>
      <c r="J27" s="31" t="n">
        <v>0</v>
      </c>
      <c r="K27" s="31" t="n">
        <v>0</v>
      </c>
      <c r="L27" s="31" t="n">
        <f aca="false">+K27+J27</f>
        <v>0</v>
      </c>
    </row>
    <row r="28" s="18" customFormat="true" ht="12.75" hidden="false" customHeight="true" outlineLevel="0" collapsed="false">
      <c r="B28" s="18" t="n">
        <v>23</v>
      </c>
      <c r="C28" s="28" t="n">
        <v>44713</v>
      </c>
      <c r="D28" s="18" t="n">
        <v>1</v>
      </c>
      <c r="E28" s="18" t="s">
        <v>155</v>
      </c>
      <c r="F28" s="18" t="n">
        <v>12</v>
      </c>
      <c r="G28" s="18" t="n">
        <v>11</v>
      </c>
      <c r="H28" s="18" t="n">
        <v>23</v>
      </c>
      <c r="I28" s="28" t="n">
        <v>45433</v>
      </c>
      <c r="J28" s="31" t="n">
        <v>0</v>
      </c>
      <c r="K28" s="31" t="n">
        <v>0</v>
      </c>
      <c r="L28" s="31" t="n">
        <f aca="false">+K28+J28</f>
        <v>0</v>
      </c>
    </row>
    <row r="29" s="18" customFormat="true" ht="12.75" hidden="false" customHeight="true" outlineLevel="0" collapsed="false">
      <c r="B29" s="18" t="n">
        <v>24</v>
      </c>
      <c r="C29" s="28" t="n">
        <v>44713</v>
      </c>
      <c r="D29" s="18" t="n">
        <v>1</v>
      </c>
      <c r="E29" s="18" t="s">
        <v>155</v>
      </c>
      <c r="F29" s="18" t="n">
        <v>13</v>
      </c>
      <c r="G29" s="18" t="n">
        <v>11</v>
      </c>
      <c r="H29" s="18" t="n">
        <v>24</v>
      </c>
      <c r="I29" s="28" t="n">
        <v>45433</v>
      </c>
      <c r="J29" s="31" t="n">
        <v>0</v>
      </c>
      <c r="K29" s="31" t="n">
        <v>0</v>
      </c>
      <c r="L29" s="31" t="n">
        <f aca="false">+K29+J29</f>
        <v>0</v>
      </c>
    </row>
    <row r="30" s="18" customFormat="true" ht="12.75" hidden="false" customHeight="true" outlineLevel="0" collapsed="false">
      <c r="B30" s="18" t="n">
        <v>25</v>
      </c>
      <c r="C30" s="28" t="n">
        <v>44743</v>
      </c>
      <c r="D30" s="18" t="n">
        <v>1</v>
      </c>
      <c r="E30" s="18" t="s">
        <v>155</v>
      </c>
      <c r="F30" s="18" t="n">
        <v>14</v>
      </c>
      <c r="G30" s="18" t="n">
        <v>11</v>
      </c>
      <c r="H30" s="18" t="n">
        <v>25</v>
      </c>
      <c r="I30" s="28" t="n">
        <v>45463</v>
      </c>
      <c r="J30" s="31" t="n">
        <v>0</v>
      </c>
      <c r="K30" s="31" t="n">
        <v>0</v>
      </c>
      <c r="L30" s="31" t="n">
        <f aca="false">+K30+J30</f>
        <v>0</v>
      </c>
    </row>
    <row r="31" s="18" customFormat="true" ht="12.75" hidden="false" customHeight="true" outlineLevel="0" collapsed="false">
      <c r="B31" s="18" t="n">
        <v>26</v>
      </c>
      <c r="C31" s="28" t="n">
        <v>44743</v>
      </c>
      <c r="D31" s="18" t="n">
        <v>0</v>
      </c>
      <c r="E31" s="18" t="s">
        <v>156</v>
      </c>
      <c r="F31" s="18" t="n">
        <v>14</v>
      </c>
      <c r="G31" s="18" t="n">
        <v>12</v>
      </c>
      <c r="H31" s="18" t="n">
        <v>26</v>
      </c>
      <c r="I31" s="28" t="n">
        <v>45463</v>
      </c>
      <c r="J31" s="31" t="n">
        <v>0</v>
      </c>
      <c r="K31" s="31" t="n">
        <v>0</v>
      </c>
      <c r="L31" s="31" t="n">
        <f aca="false">+K31+J31</f>
        <v>0</v>
      </c>
    </row>
    <row r="32" s="18" customFormat="true" ht="12.75" hidden="false" customHeight="true" outlineLevel="0" collapsed="false">
      <c r="B32" s="18" t="n">
        <v>27</v>
      </c>
      <c r="C32" s="28" t="n">
        <v>44743</v>
      </c>
      <c r="D32" s="18" t="n">
        <v>0</v>
      </c>
      <c r="E32" s="18" t="s">
        <v>156</v>
      </c>
      <c r="F32" s="18" t="n">
        <v>14</v>
      </c>
      <c r="G32" s="18" t="n">
        <v>13</v>
      </c>
      <c r="H32" s="18" t="n">
        <v>27</v>
      </c>
      <c r="I32" s="28" t="n">
        <v>45463</v>
      </c>
      <c r="J32" s="31" t="n">
        <v>0</v>
      </c>
      <c r="K32" s="31" t="n">
        <v>0</v>
      </c>
      <c r="L32" s="31" t="n">
        <f aca="false">+K32+J32</f>
        <v>0</v>
      </c>
    </row>
    <row r="33" s="18" customFormat="true" ht="12.75" hidden="false" customHeight="true" outlineLevel="0" collapsed="false">
      <c r="B33" s="18" t="n">
        <v>28</v>
      </c>
      <c r="C33" s="28" t="n">
        <v>44774</v>
      </c>
      <c r="D33" s="18" t="n">
        <v>1</v>
      </c>
      <c r="E33" s="18" t="s">
        <v>155</v>
      </c>
      <c r="F33" s="18" t="n">
        <v>15</v>
      </c>
      <c r="G33" s="18" t="n">
        <v>13</v>
      </c>
      <c r="H33" s="18" t="n">
        <v>28</v>
      </c>
      <c r="I33" s="28" t="n">
        <v>45494</v>
      </c>
      <c r="J33" s="31" t="n">
        <v>0</v>
      </c>
      <c r="K33" s="31" t="n">
        <v>0</v>
      </c>
      <c r="L33" s="31" t="n">
        <f aca="false">+K33+J33</f>
        <v>0</v>
      </c>
    </row>
    <row r="34" s="18" customFormat="true" ht="12.75" hidden="false" customHeight="true" outlineLevel="0" collapsed="false">
      <c r="B34" s="18" t="n">
        <v>29</v>
      </c>
      <c r="C34" s="28" t="n">
        <v>44774</v>
      </c>
      <c r="D34" s="18" t="n">
        <v>1</v>
      </c>
      <c r="E34" s="18" t="s">
        <v>155</v>
      </c>
      <c r="F34" s="18" t="n">
        <v>16</v>
      </c>
      <c r="G34" s="18" t="n">
        <v>13</v>
      </c>
      <c r="H34" s="18" t="n">
        <v>29</v>
      </c>
      <c r="I34" s="28" t="n">
        <v>45494</v>
      </c>
      <c r="J34" s="31" t="n">
        <v>0</v>
      </c>
      <c r="K34" s="31" t="n">
        <v>0</v>
      </c>
      <c r="L34" s="31" t="n">
        <f aca="false">+K34+J34</f>
        <v>0</v>
      </c>
    </row>
    <row r="35" s="18" customFormat="true" ht="12.75" hidden="false" customHeight="true" outlineLevel="0" collapsed="false">
      <c r="B35" s="18" t="n">
        <v>30</v>
      </c>
      <c r="C35" s="28" t="n">
        <v>44774</v>
      </c>
      <c r="D35" s="18" t="n">
        <v>0</v>
      </c>
      <c r="E35" s="18" t="s">
        <v>156</v>
      </c>
      <c r="F35" s="18" t="n">
        <v>16</v>
      </c>
      <c r="G35" s="18" t="n">
        <v>14</v>
      </c>
      <c r="H35" s="18" t="n">
        <v>30</v>
      </c>
      <c r="I35" s="28" t="n">
        <v>45494</v>
      </c>
      <c r="J35" s="31" t="n">
        <v>0</v>
      </c>
      <c r="K35" s="31" t="n">
        <v>0</v>
      </c>
      <c r="L35" s="31" t="n">
        <f aca="false">+K35+J35</f>
        <v>0</v>
      </c>
    </row>
    <row r="36" s="18" customFormat="true" ht="12.75" hidden="false" customHeight="true" outlineLevel="0" collapsed="false">
      <c r="B36" s="18" t="n">
        <v>31</v>
      </c>
      <c r="C36" s="28" t="n">
        <v>44805</v>
      </c>
      <c r="D36" s="18" t="n">
        <v>0</v>
      </c>
      <c r="E36" s="18" t="s">
        <v>156</v>
      </c>
      <c r="F36" s="18" t="n">
        <v>16</v>
      </c>
      <c r="G36" s="18" t="n">
        <v>15</v>
      </c>
      <c r="H36" s="18" t="n">
        <v>31</v>
      </c>
      <c r="I36" s="28" t="n">
        <v>45525</v>
      </c>
      <c r="J36" s="31" t="n">
        <v>0</v>
      </c>
      <c r="K36" s="31" t="n">
        <v>0</v>
      </c>
      <c r="L36" s="31" t="n">
        <f aca="false">+K36+J36</f>
        <v>0</v>
      </c>
    </row>
    <row r="37" s="18" customFormat="true" ht="12.75" hidden="false" customHeight="true" outlineLevel="0" collapsed="false">
      <c r="B37" s="18" t="n">
        <v>32</v>
      </c>
      <c r="C37" s="28" t="n">
        <v>44805</v>
      </c>
      <c r="D37" s="18" t="n">
        <v>0</v>
      </c>
      <c r="E37" s="18" t="s">
        <v>156</v>
      </c>
      <c r="F37" s="18" t="n">
        <v>16</v>
      </c>
      <c r="G37" s="18" t="n">
        <v>16</v>
      </c>
      <c r="H37" s="18" t="n">
        <v>32</v>
      </c>
      <c r="I37" s="28" t="n">
        <v>45525</v>
      </c>
      <c r="J37" s="31" t="n">
        <v>0</v>
      </c>
      <c r="K37" s="31" t="n">
        <v>0</v>
      </c>
      <c r="L37" s="31" t="n">
        <f aca="false">+K37+J37</f>
        <v>0</v>
      </c>
    </row>
    <row r="38" s="18" customFormat="true" ht="12.75" hidden="false" customHeight="true" outlineLevel="0" collapsed="false">
      <c r="B38" s="18" t="n">
        <v>33</v>
      </c>
      <c r="C38" s="28" t="n">
        <v>44805</v>
      </c>
      <c r="D38" s="18" t="n">
        <v>1</v>
      </c>
      <c r="E38" s="18" t="s">
        <v>155</v>
      </c>
      <c r="F38" s="18" t="n">
        <v>17</v>
      </c>
      <c r="G38" s="18" t="n">
        <v>16</v>
      </c>
      <c r="H38" s="18" t="n">
        <v>33</v>
      </c>
      <c r="I38" s="28" t="n">
        <v>45525</v>
      </c>
      <c r="J38" s="31" t="n">
        <v>0</v>
      </c>
      <c r="K38" s="31" t="n">
        <v>0</v>
      </c>
      <c r="L38" s="31" t="n">
        <f aca="false">+K38+J38</f>
        <v>0</v>
      </c>
    </row>
    <row r="39" s="18" customFormat="true" ht="12.75" hidden="false" customHeight="true" outlineLevel="0" collapsed="false">
      <c r="B39" s="18" t="n">
        <v>34</v>
      </c>
      <c r="C39" s="28" t="n">
        <v>44805</v>
      </c>
      <c r="D39" s="18" t="n">
        <v>0</v>
      </c>
      <c r="E39" s="18" t="s">
        <v>156</v>
      </c>
      <c r="F39" s="18" t="n">
        <v>17</v>
      </c>
      <c r="G39" s="18" t="n">
        <v>17</v>
      </c>
      <c r="H39" s="18" t="n">
        <v>34</v>
      </c>
      <c r="I39" s="28" t="n">
        <v>45525</v>
      </c>
      <c r="J39" s="31" t="n">
        <v>0</v>
      </c>
      <c r="K39" s="31" t="n">
        <v>0</v>
      </c>
      <c r="L39" s="31" t="n">
        <f aca="false">+K39+J39</f>
        <v>0</v>
      </c>
    </row>
    <row r="40" s="18" customFormat="true" ht="12.75" hidden="false" customHeight="true" outlineLevel="0" collapsed="false">
      <c r="B40" s="18" t="n">
        <v>35</v>
      </c>
      <c r="C40" s="28" t="n">
        <v>44835</v>
      </c>
      <c r="D40" s="18" t="n">
        <v>0</v>
      </c>
      <c r="E40" s="18" t="s">
        <v>156</v>
      </c>
      <c r="F40" s="18" t="n">
        <v>17</v>
      </c>
      <c r="G40" s="18" t="n">
        <v>18</v>
      </c>
      <c r="H40" s="18" t="n">
        <v>35</v>
      </c>
      <c r="I40" s="28" t="n">
        <v>45555</v>
      </c>
      <c r="J40" s="31" t="n">
        <v>0</v>
      </c>
      <c r="K40" s="31" t="n">
        <v>0</v>
      </c>
      <c r="L40" s="31" t="n">
        <f aca="false">+K40+J40</f>
        <v>0</v>
      </c>
    </row>
    <row r="41" s="18" customFormat="true" ht="12.75" hidden="false" customHeight="true" outlineLevel="0" collapsed="false">
      <c r="B41" s="18" t="n">
        <v>36</v>
      </c>
      <c r="C41" s="28" t="n">
        <v>44835</v>
      </c>
      <c r="D41" s="18" t="n">
        <v>1</v>
      </c>
      <c r="E41" s="18" t="s">
        <v>155</v>
      </c>
      <c r="F41" s="18" t="n">
        <v>18</v>
      </c>
      <c r="G41" s="18" t="n">
        <v>18</v>
      </c>
      <c r="H41" s="18" t="n">
        <v>36</v>
      </c>
      <c r="I41" s="28" t="n">
        <v>45555</v>
      </c>
      <c r="J41" s="31" t="n">
        <v>0</v>
      </c>
      <c r="K41" s="31" t="n">
        <v>0</v>
      </c>
      <c r="L41" s="31" t="n">
        <f aca="false">+K41+J41</f>
        <v>0</v>
      </c>
    </row>
    <row r="42" s="18" customFormat="true" ht="12.75" hidden="false" customHeight="true" outlineLevel="0" collapsed="false">
      <c r="B42" s="18" t="n">
        <v>37</v>
      </c>
      <c r="C42" s="28" t="n">
        <v>44835</v>
      </c>
      <c r="D42" s="18" t="n">
        <v>1</v>
      </c>
      <c r="E42" s="18" t="s">
        <v>155</v>
      </c>
      <c r="F42" s="18" t="n">
        <v>19</v>
      </c>
      <c r="G42" s="18" t="n">
        <v>18</v>
      </c>
      <c r="H42" s="18" t="n">
        <v>37</v>
      </c>
      <c r="I42" s="28" t="n">
        <v>45555</v>
      </c>
      <c r="J42" s="31" t="n">
        <v>0</v>
      </c>
      <c r="K42" s="31" t="n">
        <v>0</v>
      </c>
      <c r="L42" s="31" t="n">
        <f aca="false">+K42+J42</f>
        <v>0</v>
      </c>
    </row>
    <row r="43" s="18" customFormat="true" ht="12.75" hidden="false" customHeight="true" outlineLevel="0" collapsed="false">
      <c r="B43" s="18" t="n">
        <v>38</v>
      </c>
      <c r="C43" s="28" t="n">
        <v>44835</v>
      </c>
      <c r="D43" s="18" t="n">
        <v>1</v>
      </c>
      <c r="E43" s="18" t="s">
        <v>155</v>
      </c>
      <c r="F43" s="18" t="n">
        <v>20</v>
      </c>
      <c r="G43" s="18" t="n">
        <v>18</v>
      </c>
      <c r="H43" s="18" t="n">
        <v>38</v>
      </c>
      <c r="I43" s="28" t="n">
        <v>45555</v>
      </c>
      <c r="J43" s="31" t="n">
        <v>0</v>
      </c>
      <c r="K43" s="31" t="n">
        <v>0</v>
      </c>
      <c r="L43" s="31" t="n">
        <f aca="false">+K43+J43</f>
        <v>0</v>
      </c>
    </row>
    <row r="44" s="18" customFormat="true" ht="12.75" hidden="false" customHeight="true" outlineLevel="0" collapsed="false">
      <c r="B44" s="18" t="n">
        <v>39</v>
      </c>
      <c r="C44" s="28" t="n">
        <v>44866</v>
      </c>
      <c r="D44" s="18" t="n">
        <v>1</v>
      </c>
      <c r="E44" s="18" t="s">
        <v>155</v>
      </c>
      <c r="F44" s="18" t="n">
        <v>21</v>
      </c>
      <c r="G44" s="18" t="n">
        <v>18</v>
      </c>
      <c r="H44" s="18" t="n">
        <v>39</v>
      </c>
      <c r="I44" s="28" t="n">
        <v>45586</v>
      </c>
      <c r="J44" s="31" t="n">
        <v>0</v>
      </c>
      <c r="K44" s="31" t="n">
        <v>0</v>
      </c>
      <c r="L44" s="31" t="n">
        <f aca="false">+K44+J44</f>
        <v>0</v>
      </c>
    </row>
    <row r="45" s="18" customFormat="true" ht="12.75" hidden="false" customHeight="true" outlineLevel="0" collapsed="false">
      <c r="B45" s="18" t="n">
        <v>40</v>
      </c>
      <c r="C45" s="28" t="n">
        <v>44866</v>
      </c>
      <c r="D45" s="18" t="n">
        <v>0</v>
      </c>
      <c r="E45" s="18" t="s">
        <v>156</v>
      </c>
      <c r="F45" s="18" t="n">
        <v>21</v>
      </c>
      <c r="G45" s="18" t="n">
        <v>19</v>
      </c>
      <c r="H45" s="18" t="n">
        <v>40</v>
      </c>
      <c r="I45" s="28" t="n">
        <v>45586</v>
      </c>
      <c r="J45" s="31" t="n">
        <v>0</v>
      </c>
      <c r="K45" s="31" t="n">
        <v>0</v>
      </c>
      <c r="L45" s="31" t="n">
        <f aca="false">+K45+J45</f>
        <v>0</v>
      </c>
    </row>
    <row r="46" s="18" customFormat="true" ht="12.75" hidden="false" customHeight="true" outlineLevel="0" collapsed="false">
      <c r="B46" s="18" t="n">
        <v>41</v>
      </c>
      <c r="C46" s="28" t="n">
        <v>44866</v>
      </c>
      <c r="D46" s="18" t="n">
        <v>1</v>
      </c>
      <c r="E46" s="18" t="s">
        <v>155</v>
      </c>
      <c r="F46" s="18" t="n">
        <v>22</v>
      </c>
      <c r="G46" s="18" t="n">
        <v>19</v>
      </c>
      <c r="H46" s="18" t="n">
        <v>41</v>
      </c>
      <c r="I46" s="28" t="n">
        <v>45586</v>
      </c>
      <c r="J46" s="31" t="n">
        <v>0</v>
      </c>
      <c r="K46" s="31" t="n">
        <v>0</v>
      </c>
      <c r="L46" s="31" t="n">
        <f aca="false">+K46+J46</f>
        <v>0</v>
      </c>
    </row>
    <row r="47" s="18" customFormat="true" ht="12.75" hidden="false" customHeight="true" outlineLevel="0" collapsed="false">
      <c r="B47" s="18" t="n">
        <v>42</v>
      </c>
      <c r="C47" s="28" t="n">
        <v>44866</v>
      </c>
      <c r="D47" s="18" t="n">
        <v>0</v>
      </c>
      <c r="E47" s="18" t="s">
        <v>156</v>
      </c>
      <c r="F47" s="18" t="n">
        <v>22</v>
      </c>
      <c r="G47" s="18" t="n">
        <v>20</v>
      </c>
      <c r="H47" s="18" t="n">
        <v>42</v>
      </c>
      <c r="I47" s="28" t="n">
        <v>45586</v>
      </c>
      <c r="J47" s="31" t="n">
        <v>0</v>
      </c>
      <c r="K47" s="31" t="n">
        <v>0</v>
      </c>
      <c r="L47" s="31" t="n">
        <f aca="false">+K47+J47</f>
        <v>0</v>
      </c>
    </row>
    <row r="48" s="18" customFormat="true" ht="12.75" hidden="false" customHeight="true" outlineLevel="0" collapsed="false">
      <c r="B48" s="18" t="n">
        <v>43</v>
      </c>
      <c r="C48" s="28" t="n">
        <v>44866</v>
      </c>
      <c r="D48" s="18" t="n">
        <v>0</v>
      </c>
      <c r="E48" s="18" t="s">
        <v>156</v>
      </c>
      <c r="F48" s="18" t="n">
        <v>22</v>
      </c>
      <c r="G48" s="18" t="n">
        <v>21</v>
      </c>
      <c r="H48" s="18" t="n">
        <v>43</v>
      </c>
      <c r="I48" s="28" t="n">
        <v>45586</v>
      </c>
      <c r="J48" s="31" t="n">
        <v>0</v>
      </c>
      <c r="K48" s="31" t="n">
        <v>0</v>
      </c>
      <c r="L48" s="31" t="n">
        <f aca="false">+K48+J48</f>
        <v>0</v>
      </c>
    </row>
    <row r="49" s="18" customFormat="true" ht="12.75" hidden="false" customHeight="true" outlineLevel="0" collapsed="false">
      <c r="B49" s="18" t="n">
        <v>44</v>
      </c>
      <c r="C49" s="28" t="n">
        <v>44896</v>
      </c>
      <c r="D49" s="18" t="n">
        <v>0</v>
      </c>
      <c r="E49" s="18" t="s">
        <v>156</v>
      </c>
      <c r="F49" s="18" t="n">
        <v>22</v>
      </c>
      <c r="G49" s="18" t="n">
        <v>22</v>
      </c>
      <c r="H49" s="18" t="n">
        <v>44</v>
      </c>
      <c r="I49" s="28" t="n">
        <v>45616</v>
      </c>
      <c r="J49" s="31" t="n">
        <v>1</v>
      </c>
      <c r="K49" s="31" t="n">
        <v>0</v>
      </c>
      <c r="L49" s="31" t="n">
        <f aca="false">+K49+J49</f>
        <v>1</v>
      </c>
    </row>
    <row r="50" s="18" customFormat="true" ht="12.75" hidden="false" customHeight="true" outlineLevel="0" collapsed="false">
      <c r="B50" s="18" t="n">
        <v>45</v>
      </c>
      <c r="C50" s="28" t="n">
        <v>44896</v>
      </c>
      <c r="D50" s="18" t="n">
        <v>0</v>
      </c>
      <c r="E50" s="18" t="s">
        <v>156</v>
      </c>
      <c r="F50" s="18" t="n">
        <v>22</v>
      </c>
      <c r="G50" s="18" t="n">
        <v>23</v>
      </c>
      <c r="H50" s="18" t="n">
        <v>45</v>
      </c>
      <c r="I50" s="28" t="n">
        <v>45616</v>
      </c>
      <c r="J50" s="31" t="n">
        <v>1</v>
      </c>
      <c r="K50" s="31" t="n">
        <v>0</v>
      </c>
      <c r="L50" s="31" t="n">
        <f aca="false">+K50+J50</f>
        <v>1</v>
      </c>
    </row>
    <row r="51" s="18" customFormat="true" ht="12.75" hidden="false" customHeight="true" outlineLevel="0" collapsed="false">
      <c r="B51" s="18" t="n">
        <v>46</v>
      </c>
      <c r="C51" s="28" t="n">
        <v>44896</v>
      </c>
      <c r="D51" s="18" t="n">
        <v>1</v>
      </c>
      <c r="E51" s="18" t="s">
        <v>155</v>
      </c>
      <c r="F51" s="18" t="n">
        <v>23</v>
      </c>
      <c r="G51" s="18" t="n">
        <v>23</v>
      </c>
      <c r="H51" s="18" t="n">
        <v>46</v>
      </c>
      <c r="I51" s="28" t="n">
        <v>45616</v>
      </c>
      <c r="J51" s="31" t="n">
        <v>1</v>
      </c>
      <c r="K51" s="31" t="n">
        <v>0</v>
      </c>
      <c r="L51" s="31" t="n">
        <f aca="false">+K51+J51</f>
        <v>1</v>
      </c>
    </row>
    <row r="52" s="18" customFormat="true" ht="12.75" hidden="false" customHeight="true" outlineLevel="0" collapsed="false">
      <c r="B52" s="18" t="n">
        <v>47</v>
      </c>
      <c r="C52" s="28" t="n">
        <v>44896</v>
      </c>
      <c r="D52" s="18" t="n">
        <v>0</v>
      </c>
      <c r="E52" s="18" t="s">
        <v>156</v>
      </c>
      <c r="F52" s="18" t="n">
        <v>23</v>
      </c>
      <c r="G52" s="18" t="n">
        <v>24</v>
      </c>
      <c r="H52" s="18" t="n">
        <v>47</v>
      </c>
      <c r="I52" s="28" t="n">
        <v>45616</v>
      </c>
      <c r="J52" s="31" t="n">
        <v>1</v>
      </c>
      <c r="K52" s="31" t="n">
        <v>0</v>
      </c>
      <c r="L52" s="31" t="n">
        <f aca="false">+K52+J52</f>
        <v>1</v>
      </c>
    </row>
    <row r="53" s="18" customFormat="true" ht="12.75" hidden="false" customHeight="true" outlineLevel="0" collapsed="false">
      <c r="B53" s="18" t="n">
        <v>48</v>
      </c>
      <c r="C53" s="28" t="n">
        <v>44896</v>
      </c>
      <c r="D53" s="18" t="n">
        <v>0</v>
      </c>
      <c r="E53" s="18" t="s">
        <v>156</v>
      </c>
      <c r="F53" s="18" t="n">
        <v>23</v>
      </c>
      <c r="G53" s="18" t="n">
        <v>25</v>
      </c>
      <c r="H53" s="18" t="n">
        <v>48</v>
      </c>
      <c r="I53" s="28" t="n">
        <v>45616</v>
      </c>
      <c r="J53" s="31" t="n">
        <v>1</v>
      </c>
      <c r="K53" s="31" t="n">
        <v>0</v>
      </c>
      <c r="L53" s="31" t="n">
        <f aca="false">+K53+J53</f>
        <v>1</v>
      </c>
    </row>
    <row r="54" s="18" customFormat="true" ht="12.75" hidden="false" customHeight="true" outlineLevel="0" collapsed="false">
      <c r="B54" s="18" t="n">
        <v>49</v>
      </c>
      <c r="C54" s="28" t="n">
        <v>44927</v>
      </c>
      <c r="D54" s="18" t="n">
        <v>1</v>
      </c>
      <c r="E54" s="18" t="s">
        <v>155</v>
      </c>
      <c r="F54" s="18" t="n">
        <v>24</v>
      </c>
      <c r="G54" s="18" t="n">
        <v>25</v>
      </c>
      <c r="H54" s="18" t="n">
        <v>49</v>
      </c>
      <c r="I54" s="28" t="n">
        <v>45647</v>
      </c>
      <c r="J54" s="31" t="n">
        <v>1</v>
      </c>
      <c r="K54" s="31" t="n">
        <v>1</v>
      </c>
      <c r="L54" s="31" t="n">
        <f aca="false">+K54+J54</f>
        <v>2</v>
      </c>
    </row>
    <row r="55" s="18" customFormat="true" ht="12.75" hidden="false" customHeight="true" outlineLevel="0" collapsed="false">
      <c r="B55" s="18" t="n">
        <v>50</v>
      </c>
      <c r="C55" s="28" t="n">
        <v>44927</v>
      </c>
      <c r="D55" s="18" t="n">
        <v>0</v>
      </c>
      <c r="E55" s="18" t="s">
        <v>156</v>
      </c>
      <c r="F55" s="18" t="n">
        <v>24</v>
      </c>
      <c r="G55" s="18" t="n">
        <v>26</v>
      </c>
      <c r="H55" s="18" t="n">
        <v>50</v>
      </c>
      <c r="I55" s="28" t="n">
        <v>45647</v>
      </c>
      <c r="J55" s="31" t="n">
        <v>1</v>
      </c>
      <c r="K55" s="31" t="n">
        <v>1</v>
      </c>
      <c r="L55" s="31" t="n">
        <f aca="false">+K55+J55</f>
        <v>2</v>
      </c>
    </row>
    <row r="56" s="18" customFormat="true" ht="12.75" hidden="false" customHeight="true" outlineLevel="0" collapsed="false">
      <c r="B56" s="18" t="n">
        <v>51</v>
      </c>
      <c r="C56" s="28" t="n">
        <v>44927</v>
      </c>
      <c r="D56" s="18" t="n">
        <v>0</v>
      </c>
      <c r="E56" s="18" t="s">
        <v>156</v>
      </c>
      <c r="F56" s="18" t="n">
        <v>24</v>
      </c>
      <c r="G56" s="18" t="n">
        <v>27</v>
      </c>
      <c r="H56" s="18" t="n">
        <v>51</v>
      </c>
      <c r="I56" s="28" t="n">
        <v>45647</v>
      </c>
      <c r="J56" s="31" t="n">
        <v>1</v>
      </c>
      <c r="K56" s="31" t="n">
        <v>1</v>
      </c>
      <c r="L56" s="31" t="n">
        <f aca="false">+K56+J56</f>
        <v>2</v>
      </c>
    </row>
    <row r="57" s="18" customFormat="true" ht="12.75" hidden="false" customHeight="true" outlineLevel="0" collapsed="false">
      <c r="B57" s="18" t="n">
        <v>52</v>
      </c>
      <c r="C57" s="28" t="n">
        <v>44927</v>
      </c>
      <c r="D57" s="18" t="n">
        <v>0</v>
      </c>
      <c r="E57" s="18" t="s">
        <v>156</v>
      </c>
      <c r="F57" s="18" t="n">
        <v>24</v>
      </c>
      <c r="G57" s="18" t="n">
        <v>28</v>
      </c>
      <c r="H57" s="18" t="n">
        <v>52</v>
      </c>
      <c r="I57" s="28" t="n">
        <v>45647</v>
      </c>
      <c r="J57" s="31" t="n">
        <v>1</v>
      </c>
      <c r="K57" s="31" t="n">
        <v>1</v>
      </c>
      <c r="L57" s="31" t="n">
        <f aca="false">+K57+J57</f>
        <v>2</v>
      </c>
    </row>
    <row r="58" s="18" customFormat="true" ht="12.75" hidden="false" customHeight="true" outlineLevel="0" collapsed="false">
      <c r="B58" s="18" t="n">
        <v>53</v>
      </c>
      <c r="C58" s="28" t="n">
        <v>44927</v>
      </c>
      <c r="D58" s="18" t="n">
        <v>0</v>
      </c>
      <c r="E58" s="18" t="s">
        <v>156</v>
      </c>
      <c r="F58" s="18" t="n">
        <v>24</v>
      </c>
      <c r="G58" s="18" t="n">
        <v>29</v>
      </c>
      <c r="H58" s="18" t="n">
        <v>53</v>
      </c>
      <c r="I58" s="28" t="n">
        <v>45647</v>
      </c>
      <c r="J58" s="31" t="n">
        <v>1</v>
      </c>
      <c r="K58" s="31" t="n">
        <v>1</v>
      </c>
      <c r="L58" s="31" t="n">
        <f aca="false">+K58+J58</f>
        <v>2</v>
      </c>
    </row>
    <row r="59" customFormat="false" ht="12" hidden="false" customHeight="false" outlineLevel="0" collapsed="false">
      <c r="B59" s="0" t="n">
        <v>54</v>
      </c>
      <c r="C59" s="32" t="n">
        <v>44958</v>
      </c>
      <c r="D59" s="0" t="n">
        <v>0</v>
      </c>
      <c r="E59" s="4" t="s">
        <v>156</v>
      </c>
      <c r="F59" s="0" t="n">
        <v>24</v>
      </c>
      <c r="G59" s="0" t="n">
        <v>30</v>
      </c>
      <c r="H59" s="0" t="n">
        <v>54</v>
      </c>
      <c r="I59" s="32" t="n">
        <v>45678</v>
      </c>
      <c r="J59" s="7" t="n">
        <v>1</v>
      </c>
      <c r="K59" s="7" t="n">
        <v>2</v>
      </c>
      <c r="L59" s="7" t="n">
        <f aca="false">+K59+J59</f>
        <v>3</v>
      </c>
    </row>
    <row r="60" customFormat="false" ht="12" hidden="false" customHeight="false" outlineLevel="0" collapsed="false">
      <c r="B60" s="0" t="n">
        <v>55</v>
      </c>
      <c r="C60" s="32" t="n">
        <v>44958</v>
      </c>
      <c r="D60" s="0" t="n">
        <v>1</v>
      </c>
      <c r="E60" s="4" t="s">
        <v>155</v>
      </c>
      <c r="F60" s="0" t="n">
        <v>25</v>
      </c>
      <c r="G60" s="0" t="n">
        <v>30</v>
      </c>
      <c r="H60" s="0" t="n">
        <v>55</v>
      </c>
      <c r="I60" s="32" t="n">
        <v>45678</v>
      </c>
      <c r="J60" s="7" t="n">
        <v>1</v>
      </c>
      <c r="K60" s="7" t="n">
        <v>2</v>
      </c>
      <c r="L60" s="7" t="n">
        <f aca="false">+K60+J60</f>
        <v>3</v>
      </c>
    </row>
    <row r="61" customFormat="false" ht="12" hidden="false" customHeight="false" outlineLevel="0" collapsed="false">
      <c r="B61" s="0" t="n">
        <v>56</v>
      </c>
      <c r="C61" s="32" t="n">
        <v>44958</v>
      </c>
      <c r="D61" s="0" t="n">
        <v>0</v>
      </c>
      <c r="E61" s="4" t="s">
        <v>156</v>
      </c>
      <c r="F61" s="0" t="n">
        <v>25</v>
      </c>
      <c r="G61" s="0" t="n">
        <v>31</v>
      </c>
      <c r="H61" s="0" t="n">
        <v>56</v>
      </c>
      <c r="I61" s="32" t="n">
        <v>45678</v>
      </c>
      <c r="J61" s="7" t="n">
        <v>1</v>
      </c>
      <c r="K61" s="7" t="n">
        <v>2</v>
      </c>
      <c r="L61" s="7" t="n">
        <f aca="false">+K61+J61</f>
        <v>3</v>
      </c>
    </row>
    <row r="62" customFormat="false" ht="12" hidden="false" customHeight="false" outlineLevel="0" collapsed="false">
      <c r="B62" s="0" t="n">
        <v>57</v>
      </c>
      <c r="C62" s="32" t="n">
        <v>44958</v>
      </c>
      <c r="D62" s="0" t="n">
        <v>0</v>
      </c>
      <c r="E62" s="4" t="s">
        <v>156</v>
      </c>
      <c r="F62" s="0" t="n">
        <v>25</v>
      </c>
      <c r="G62" s="0" t="n">
        <v>32</v>
      </c>
      <c r="H62" s="0" t="n">
        <v>57</v>
      </c>
      <c r="I62" s="32" t="n">
        <v>45678</v>
      </c>
      <c r="J62" s="7" t="n">
        <v>1</v>
      </c>
      <c r="K62" s="7" t="n">
        <v>2</v>
      </c>
      <c r="L62" s="7" t="n">
        <f aca="false">+K62+J62</f>
        <v>3</v>
      </c>
    </row>
    <row r="63" customFormat="false" ht="12" hidden="false" customHeight="false" outlineLevel="0" collapsed="false">
      <c r="B63" s="0" t="n">
        <v>58</v>
      </c>
      <c r="C63" s="32" t="n">
        <v>44958</v>
      </c>
      <c r="D63" s="0" t="n">
        <v>1</v>
      </c>
      <c r="E63" s="4" t="s">
        <v>155</v>
      </c>
      <c r="F63" s="0" t="n">
        <v>26</v>
      </c>
      <c r="G63" s="0" t="n">
        <v>32</v>
      </c>
      <c r="H63" s="0" t="n">
        <v>58</v>
      </c>
      <c r="I63" s="32" t="n">
        <v>45678</v>
      </c>
      <c r="J63" s="7" t="n">
        <v>1</v>
      </c>
      <c r="K63" s="7" t="n">
        <v>2</v>
      </c>
      <c r="L63" s="7" t="n">
        <f aca="false">+K63+J63</f>
        <v>3</v>
      </c>
    </row>
    <row r="64" customFormat="false" ht="12" hidden="false" customHeight="false" outlineLevel="0" collapsed="false">
      <c r="B64" s="0" t="n">
        <v>59</v>
      </c>
      <c r="C64" s="32" t="n">
        <v>44986</v>
      </c>
      <c r="D64" s="0" t="n">
        <v>1</v>
      </c>
      <c r="E64" s="4" t="s">
        <v>155</v>
      </c>
      <c r="F64" s="0" t="n">
        <v>27</v>
      </c>
      <c r="G64" s="0" t="n">
        <v>32</v>
      </c>
      <c r="H64" s="0" t="n">
        <v>59</v>
      </c>
      <c r="I64" s="32" t="n">
        <v>45706</v>
      </c>
      <c r="J64" s="7" t="n">
        <v>2</v>
      </c>
      <c r="K64" s="7" t="n">
        <v>2</v>
      </c>
      <c r="L64" s="7" t="n">
        <f aca="false">+K64+J64</f>
        <v>4</v>
      </c>
    </row>
    <row r="65" customFormat="false" ht="12" hidden="false" customHeight="false" outlineLevel="0" collapsed="false">
      <c r="B65" s="0" t="n">
        <v>60</v>
      </c>
      <c r="C65" s="32" t="n">
        <v>44986</v>
      </c>
      <c r="D65" s="0" t="n">
        <v>0</v>
      </c>
      <c r="E65" s="4" t="s">
        <v>156</v>
      </c>
      <c r="F65" s="0" t="n">
        <v>27</v>
      </c>
      <c r="G65" s="0" t="n">
        <v>33</v>
      </c>
      <c r="H65" s="0" t="n">
        <v>60</v>
      </c>
      <c r="I65" s="32" t="n">
        <v>45706</v>
      </c>
      <c r="J65" s="7" t="n">
        <v>2</v>
      </c>
      <c r="K65" s="7" t="n">
        <v>2</v>
      </c>
      <c r="L65" s="7" t="n">
        <f aca="false">+K65+J65</f>
        <v>4</v>
      </c>
    </row>
    <row r="66" customFormat="false" ht="12" hidden="false" customHeight="false" outlineLevel="0" collapsed="false">
      <c r="B66" s="0" t="n">
        <v>61</v>
      </c>
      <c r="C66" s="32" t="n">
        <v>44986</v>
      </c>
      <c r="D66" s="0" t="n">
        <v>0</v>
      </c>
      <c r="E66" s="4" t="s">
        <v>156</v>
      </c>
      <c r="F66" s="0" t="n">
        <v>27</v>
      </c>
      <c r="G66" s="0" t="n">
        <v>34</v>
      </c>
      <c r="H66" s="0" t="n">
        <v>61</v>
      </c>
      <c r="I66" s="32" t="n">
        <v>45706</v>
      </c>
      <c r="J66" s="7" t="n">
        <v>2</v>
      </c>
      <c r="K66" s="7" t="n">
        <v>2</v>
      </c>
      <c r="L66" s="7" t="n">
        <f aca="false">+K66+J66</f>
        <v>4</v>
      </c>
    </row>
    <row r="67" customFormat="false" ht="12" hidden="false" customHeight="false" outlineLevel="0" collapsed="false">
      <c r="B67" s="0" t="n">
        <v>62</v>
      </c>
      <c r="C67" s="32" t="n">
        <v>44986</v>
      </c>
      <c r="D67" s="0" t="n">
        <v>0</v>
      </c>
      <c r="E67" s="4" t="s">
        <v>156</v>
      </c>
      <c r="F67" s="0" t="n">
        <v>27</v>
      </c>
      <c r="G67" s="0" t="n">
        <v>35</v>
      </c>
      <c r="H67" s="0" t="n">
        <v>62</v>
      </c>
      <c r="I67" s="32" t="n">
        <v>45706</v>
      </c>
      <c r="J67" s="7" t="n">
        <v>2</v>
      </c>
      <c r="K67" s="7" t="n">
        <v>2</v>
      </c>
      <c r="L67" s="7" t="n">
        <f aca="false">+K67+J67</f>
        <v>4</v>
      </c>
    </row>
    <row r="68" customFormat="false" ht="12" hidden="false" customHeight="false" outlineLevel="0" collapsed="false">
      <c r="B68" s="0" t="n">
        <v>63</v>
      </c>
      <c r="C68" s="32" t="n">
        <v>44986</v>
      </c>
      <c r="D68" s="0" t="n">
        <v>0</v>
      </c>
      <c r="E68" s="4" t="s">
        <v>156</v>
      </c>
      <c r="F68" s="0" t="n">
        <v>27</v>
      </c>
      <c r="G68" s="0" t="n">
        <v>36</v>
      </c>
      <c r="H68" s="0" t="n">
        <v>63</v>
      </c>
      <c r="I68" s="32" t="n">
        <v>45706</v>
      </c>
      <c r="J68" s="7" t="n">
        <v>2</v>
      </c>
      <c r="K68" s="7" t="n">
        <v>2</v>
      </c>
      <c r="L68" s="7" t="n">
        <f aca="false">+K68+J68</f>
        <v>4</v>
      </c>
    </row>
    <row r="69" customFormat="false" ht="12" hidden="false" customHeight="false" outlineLevel="0" collapsed="false">
      <c r="B69" s="0" t="n">
        <v>64</v>
      </c>
      <c r="C69" s="32" t="n">
        <v>45017</v>
      </c>
      <c r="D69" s="0" t="n">
        <v>1</v>
      </c>
      <c r="E69" s="4" t="s">
        <v>155</v>
      </c>
      <c r="F69" s="0" t="n">
        <v>28</v>
      </c>
      <c r="G69" s="0" t="n">
        <v>36</v>
      </c>
      <c r="H69" s="0" t="n">
        <v>64</v>
      </c>
      <c r="I69" s="32" t="n">
        <v>45737</v>
      </c>
      <c r="J69" s="7" t="n">
        <v>2</v>
      </c>
      <c r="K69" s="7" t="n">
        <v>3</v>
      </c>
      <c r="L69" s="7" t="n">
        <f aca="false">+K69+J69</f>
        <v>5</v>
      </c>
    </row>
    <row r="70" customFormat="false" ht="12" hidden="false" customHeight="false" outlineLevel="0" collapsed="false">
      <c r="B70" s="0" t="n">
        <v>65</v>
      </c>
      <c r="C70" s="32" t="n">
        <v>45017</v>
      </c>
      <c r="D70" s="0" t="n">
        <v>1</v>
      </c>
      <c r="E70" s="4" t="s">
        <v>155</v>
      </c>
      <c r="F70" s="0" t="n">
        <v>29</v>
      </c>
      <c r="G70" s="0" t="n">
        <v>36</v>
      </c>
      <c r="H70" s="0" t="n">
        <v>65</v>
      </c>
      <c r="I70" s="32" t="n">
        <v>45737</v>
      </c>
      <c r="J70" s="7" t="n">
        <v>2</v>
      </c>
      <c r="K70" s="7" t="n">
        <v>3</v>
      </c>
      <c r="L70" s="7" t="n">
        <f aca="false">+K70+J70</f>
        <v>5</v>
      </c>
    </row>
    <row r="71" customFormat="false" ht="12" hidden="false" customHeight="false" outlineLevel="0" collapsed="false">
      <c r="B71" s="0" t="n">
        <v>66</v>
      </c>
      <c r="C71" s="32" t="n">
        <v>45017</v>
      </c>
      <c r="D71" s="0" t="n">
        <v>1</v>
      </c>
      <c r="E71" s="4" t="s">
        <v>155</v>
      </c>
      <c r="F71" s="0" t="n">
        <v>30</v>
      </c>
      <c r="G71" s="0" t="n">
        <v>36</v>
      </c>
      <c r="H71" s="0" t="n">
        <v>66</v>
      </c>
      <c r="I71" s="32" t="n">
        <v>45737</v>
      </c>
      <c r="J71" s="7" t="n">
        <v>2</v>
      </c>
      <c r="K71" s="7" t="n">
        <v>3</v>
      </c>
      <c r="L71" s="7" t="n">
        <f aca="false">+K71+J71</f>
        <v>5</v>
      </c>
    </row>
    <row r="72" customFormat="false" ht="12" hidden="false" customHeight="false" outlineLevel="0" collapsed="false">
      <c r="B72" s="0" t="n">
        <v>67</v>
      </c>
      <c r="C72" s="32" t="n">
        <v>45017</v>
      </c>
      <c r="D72" s="0" t="n">
        <v>0</v>
      </c>
      <c r="E72" s="4" t="s">
        <v>156</v>
      </c>
      <c r="F72" s="0" t="n">
        <v>30</v>
      </c>
      <c r="G72" s="0" t="n">
        <v>37</v>
      </c>
      <c r="H72" s="0" t="n">
        <v>67</v>
      </c>
      <c r="I72" s="32" t="n">
        <v>45737</v>
      </c>
      <c r="J72" s="7" t="n">
        <v>2</v>
      </c>
      <c r="K72" s="7" t="n">
        <v>3</v>
      </c>
      <c r="L72" s="7" t="n">
        <f aca="false">+K72+J72</f>
        <v>5</v>
      </c>
    </row>
    <row r="73" customFormat="false" ht="12" hidden="false" customHeight="false" outlineLevel="0" collapsed="false">
      <c r="B73" s="0" t="n">
        <v>68</v>
      </c>
      <c r="C73" s="32" t="n">
        <v>45017</v>
      </c>
      <c r="D73" s="0" t="n">
        <v>0</v>
      </c>
      <c r="E73" s="4" t="s">
        <v>156</v>
      </c>
      <c r="F73" s="0" t="n">
        <v>30</v>
      </c>
      <c r="G73" s="0" t="n">
        <v>38</v>
      </c>
      <c r="H73" s="0" t="n">
        <v>68</v>
      </c>
      <c r="I73" s="32" t="n">
        <v>45737</v>
      </c>
      <c r="J73" s="7" t="n">
        <v>2</v>
      </c>
      <c r="K73" s="7" t="n">
        <v>3</v>
      </c>
      <c r="L73" s="7" t="n">
        <f aca="false">+K73+J73</f>
        <v>5</v>
      </c>
    </row>
    <row r="74" customFormat="false" ht="12" hidden="false" customHeight="false" outlineLevel="0" collapsed="false">
      <c r="B74" s="0" t="n">
        <v>69</v>
      </c>
      <c r="C74" s="32" t="n">
        <v>45047</v>
      </c>
      <c r="D74" s="0" t="n">
        <v>0</v>
      </c>
      <c r="E74" s="4" t="s">
        <v>156</v>
      </c>
      <c r="F74" s="0" t="n">
        <v>30</v>
      </c>
      <c r="G74" s="0" t="n">
        <v>39</v>
      </c>
      <c r="H74" s="0" t="n">
        <v>69</v>
      </c>
      <c r="I74" s="32" t="n">
        <v>45767</v>
      </c>
      <c r="J74" s="7" t="n">
        <v>2</v>
      </c>
      <c r="K74" s="7" t="n">
        <v>4</v>
      </c>
      <c r="L74" s="7" t="n">
        <f aca="false">+K74+J74</f>
        <v>6</v>
      </c>
    </row>
    <row r="75" customFormat="false" ht="12" hidden="false" customHeight="false" outlineLevel="0" collapsed="false">
      <c r="B75" s="0" t="n">
        <v>70</v>
      </c>
      <c r="C75" s="32" t="n">
        <v>45047</v>
      </c>
      <c r="D75" s="0" t="n">
        <v>0</v>
      </c>
      <c r="E75" s="4" t="s">
        <v>156</v>
      </c>
      <c r="F75" s="0" t="n">
        <v>30</v>
      </c>
      <c r="G75" s="0" t="n">
        <v>40</v>
      </c>
      <c r="H75" s="0" t="n">
        <v>70</v>
      </c>
      <c r="I75" s="32" t="n">
        <v>45767</v>
      </c>
      <c r="J75" s="7" t="n">
        <v>2</v>
      </c>
      <c r="K75" s="7" t="n">
        <v>4</v>
      </c>
      <c r="L75" s="7" t="n">
        <f aca="false">+K75+J75</f>
        <v>6</v>
      </c>
    </row>
    <row r="76" customFormat="false" ht="12" hidden="false" customHeight="false" outlineLevel="0" collapsed="false">
      <c r="B76" s="0" t="n">
        <v>71</v>
      </c>
      <c r="C76" s="32" t="n">
        <v>45047</v>
      </c>
      <c r="D76" s="0" t="n">
        <v>0</v>
      </c>
      <c r="E76" s="4" t="s">
        <v>156</v>
      </c>
      <c r="F76" s="0" t="n">
        <v>30</v>
      </c>
      <c r="G76" s="0" t="n">
        <v>41</v>
      </c>
      <c r="H76" s="0" t="n">
        <v>71</v>
      </c>
      <c r="I76" s="32" t="n">
        <v>45767</v>
      </c>
      <c r="J76" s="7" t="n">
        <v>2</v>
      </c>
      <c r="K76" s="7" t="n">
        <v>4</v>
      </c>
      <c r="L76" s="7" t="n">
        <f aca="false">+K76+J76</f>
        <v>6</v>
      </c>
    </row>
    <row r="77" customFormat="false" ht="12" hidden="false" customHeight="false" outlineLevel="0" collapsed="false">
      <c r="B77" s="0" t="n">
        <v>72</v>
      </c>
      <c r="C77" s="32" t="n">
        <v>45047</v>
      </c>
      <c r="D77" s="0" t="n">
        <v>0</v>
      </c>
      <c r="E77" s="4" t="s">
        <v>156</v>
      </c>
      <c r="F77" s="0" t="n">
        <v>30</v>
      </c>
      <c r="G77" s="0" t="n">
        <v>42</v>
      </c>
      <c r="H77" s="0" t="n">
        <v>72</v>
      </c>
      <c r="I77" s="32" t="n">
        <v>45767</v>
      </c>
      <c r="J77" s="7" t="n">
        <v>2</v>
      </c>
      <c r="K77" s="7" t="n">
        <v>4</v>
      </c>
      <c r="L77" s="7" t="n">
        <f aca="false">+K77+J77</f>
        <v>6</v>
      </c>
    </row>
    <row r="78" customFormat="false" ht="12" hidden="false" customHeight="false" outlineLevel="0" collapsed="false">
      <c r="B78" s="0" t="n">
        <v>73</v>
      </c>
      <c r="C78" s="32" t="n">
        <v>45047</v>
      </c>
      <c r="D78" s="0" t="n">
        <v>0</v>
      </c>
      <c r="E78" s="4" t="s">
        <v>156</v>
      </c>
      <c r="F78" s="0" t="n">
        <v>30</v>
      </c>
      <c r="G78" s="0" t="n">
        <v>43</v>
      </c>
      <c r="H78" s="0" t="n">
        <v>73</v>
      </c>
      <c r="I78" s="32" t="n">
        <v>45767</v>
      </c>
      <c r="J78" s="7" t="n">
        <v>2</v>
      </c>
      <c r="K78" s="7" t="n">
        <v>4</v>
      </c>
      <c r="L78" s="7" t="n">
        <f aca="false">+K78+J78</f>
        <v>6</v>
      </c>
    </row>
    <row r="79" customFormat="false" ht="12" hidden="false" customHeight="false" outlineLevel="0" collapsed="false">
      <c r="B79" s="0" t="n">
        <v>74</v>
      </c>
      <c r="C79" s="32" t="n">
        <v>45078</v>
      </c>
      <c r="D79" s="0" t="n">
        <v>0</v>
      </c>
      <c r="E79" s="4" t="s">
        <v>156</v>
      </c>
      <c r="F79" s="0" t="n">
        <v>30</v>
      </c>
      <c r="G79" s="0" t="n">
        <v>44</v>
      </c>
      <c r="H79" s="0" t="n">
        <v>74</v>
      </c>
      <c r="I79" s="32" t="n">
        <v>45798</v>
      </c>
      <c r="J79" s="7" t="n">
        <v>3</v>
      </c>
      <c r="K79" s="7" t="n">
        <v>4</v>
      </c>
      <c r="L79" s="7" t="n">
        <f aca="false">+K79+J79</f>
        <v>7</v>
      </c>
    </row>
    <row r="80" customFormat="false" ht="12" hidden="false" customHeight="false" outlineLevel="0" collapsed="false">
      <c r="B80" s="0" t="n">
        <v>75</v>
      </c>
      <c r="C80" s="32" t="n">
        <v>45078</v>
      </c>
      <c r="D80" s="0" t="n">
        <v>1</v>
      </c>
      <c r="E80" s="4" t="s">
        <v>155</v>
      </c>
      <c r="F80" s="0" t="n">
        <v>31</v>
      </c>
      <c r="G80" s="0" t="n">
        <v>44</v>
      </c>
      <c r="H80" s="0" t="n">
        <v>75</v>
      </c>
      <c r="I80" s="32" t="n">
        <v>45798</v>
      </c>
      <c r="J80" s="7" t="n">
        <v>3</v>
      </c>
      <c r="K80" s="7" t="n">
        <v>4</v>
      </c>
      <c r="L80" s="7" t="n">
        <f aca="false">+K80+J80</f>
        <v>7</v>
      </c>
    </row>
    <row r="81" customFormat="false" ht="12" hidden="false" customHeight="false" outlineLevel="0" collapsed="false">
      <c r="B81" s="0" t="n">
        <v>76</v>
      </c>
      <c r="C81" s="32" t="n">
        <v>45078</v>
      </c>
      <c r="D81" s="0" t="n">
        <v>1</v>
      </c>
      <c r="E81" s="4" t="s">
        <v>155</v>
      </c>
      <c r="F81" s="0" t="n">
        <v>32</v>
      </c>
      <c r="G81" s="0" t="n">
        <v>44</v>
      </c>
      <c r="H81" s="0" t="n">
        <v>76</v>
      </c>
      <c r="I81" s="32" t="n">
        <v>45798</v>
      </c>
      <c r="J81" s="7" t="n">
        <v>3</v>
      </c>
      <c r="K81" s="7" t="n">
        <v>4</v>
      </c>
      <c r="L81" s="7" t="n">
        <f aca="false">+K81+J81</f>
        <v>7</v>
      </c>
    </row>
    <row r="82" customFormat="false" ht="12" hidden="false" customHeight="false" outlineLevel="0" collapsed="false">
      <c r="B82" s="0" t="n">
        <v>77</v>
      </c>
      <c r="C82" s="32" t="n">
        <v>45078</v>
      </c>
      <c r="D82" s="0" t="n">
        <v>0</v>
      </c>
      <c r="E82" s="4" t="s">
        <v>156</v>
      </c>
      <c r="F82" s="0" t="n">
        <v>32</v>
      </c>
      <c r="G82" s="0" t="n">
        <v>45</v>
      </c>
      <c r="H82" s="0" t="n">
        <v>77</v>
      </c>
      <c r="I82" s="32" t="n">
        <v>45798</v>
      </c>
      <c r="J82" s="7" t="n">
        <v>3</v>
      </c>
      <c r="K82" s="7" t="n">
        <v>4</v>
      </c>
      <c r="L82" s="7" t="n">
        <f aca="false">+K82+J82</f>
        <v>7</v>
      </c>
    </row>
    <row r="83" customFormat="false" ht="12" hidden="false" customHeight="false" outlineLevel="0" collapsed="false">
      <c r="B83" s="0" t="n">
        <v>78</v>
      </c>
      <c r="C83" s="32" t="n">
        <v>45078</v>
      </c>
      <c r="D83" s="0" t="n">
        <v>1</v>
      </c>
      <c r="E83" s="4" t="s">
        <v>155</v>
      </c>
      <c r="F83" s="0" t="n">
        <v>33</v>
      </c>
      <c r="G83" s="0" t="n">
        <v>45</v>
      </c>
      <c r="H83" s="0" t="n">
        <v>78</v>
      </c>
      <c r="I83" s="32" t="n">
        <v>45798</v>
      </c>
      <c r="J83" s="7" t="n">
        <v>3</v>
      </c>
      <c r="K83" s="7" t="n">
        <v>4</v>
      </c>
      <c r="L83" s="7" t="n">
        <f aca="false">+K83+J83</f>
        <v>7</v>
      </c>
    </row>
    <row r="84" customFormat="false" ht="12" hidden="false" customHeight="false" outlineLevel="0" collapsed="false">
      <c r="B84" s="0" t="n">
        <v>79</v>
      </c>
      <c r="C84" s="32" t="n">
        <v>45108</v>
      </c>
      <c r="D84" s="0" t="n">
        <v>0</v>
      </c>
      <c r="E84" s="4" t="s">
        <v>156</v>
      </c>
      <c r="F84" s="0" t="n">
        <v>33</v>
      </c>
      <c r="G84" s="0" t="n">
        <v>46</v>
      </c>
      <c r="H84" s="0" t="n">
        <v>79</v>
      </c>
      <c r="I84" s="32" t="n">
        <v>45828</v>
      </c>
      <c r="J84" s="7" t="n">
        <v>4</v>
      </c>
      <c r="K84" s="7" t="n">
        <v>4</v>
      </c>
      <c r="L84" s="7" t="n">
        <f aca="false">+K84+J84</f>
        <v>8</v>
      </c>
    </row>
    <row r="85" customFormat="false" ht="12" hidden="false" customHeight="false" outlineLevel="0" collapsed="false">
      <c r="B85" s="0" t="n">
        <v>80</v>
      </c>
      <c r="C85" s="32" t="n">
        <v>45108</v>
      </c>
      <c r="D85" s="0" t="n">
        <v>1</v>
      </c>
      <c r="E85" s="4" t="s">
        <v>155</v>
      </c>
      <c r="F85" s="0" t="n">
        <v>34</v>
      </c>
      <c r="G85" s="0" t="n">
        <v>46</v>
      </c>
      <c r="H85" s="0" t="n">
        <v>80</v>
      </c>
      <c r="I85" s="32" t="n">
        <v>45828</v>
      </c>
      <c r="J85" s="7" t="n">
        <v>4</v>
      </c>
      <c r="K85" s="7" t="n">
        <v>4</v>
      </c>
      <c r="L85" s="7" t="n">
        <f aca="false">+K85+J85</f>
        <v>8</v>
      </c>
    </row>
    <row r="86" customFormat="false" ht="12" hidden="false" customHeight="false" outlineLevel="0" collapsed="false">
      <c r="B86" s="0" t="n">
        <v>81</v>
      </c>
      <c r="C86" s="32" t="n">
        <v>45108</v>
      </c>
      <c r="D86" s="0" t="n">
        <v>1</v>
      </c>
      <c r="E86" s="4" t="s">
        <v>155</v>
      </c>
      <c r="F86" s="0" t="n">
        <v>35</v>
      </c>
      <c r="G86" s="0" t="n">
        <v>46</v>
      </c>
      <c r="H86" s="0" t="n">
        <v>81</v>
      </c>
      <c r="I86" s="32" t="n">
        <v>45828</v>
      </c>
      <c r="J86" s="7" t="n">
        <v>4</v>
      </c>
      <c r="K86" s="7" t="n">
        <v>4</v>
      </c>
      <c r="L86" s="7" t="n">
        <f aca="false">+K86+J86</f>
        <v>8</v>
      </c>
    </row>
    <row r="87" customFormat="false" ht="12" hidden="false" customHeight="false" outlineLevel="0" collapsed="false">
      <c r="B87" s="0" t="n">
        <v>82</v>
      </c>
      <c r="C87" s="32" t="n">
        <v>45108</v>
      </c>
      <c r="D87" s="0" t="n">
        <v>1</v>
      </c>
      <c r="E87" s="4" t="s">
        <v>155</v>
      </c>
      <c r="F87" s="0" t="n">
        <v>36</v>
      </c>
      <c r="G87" s="0" t="n">
        <v>46</v>
      </c>
      <c r="H87" s="0" t="n">
        <v>82</v>
      </c>
      <c r="I87" s="32" t="n">
        <v>45828</v>
      </c>
      <c r="J87" s="7" t="n">
        <v>4</v>
      </c>
      <c r="K87" s="7" t="n">
        <v>4</v>
      </c>
      <c r="L87" s="7" t="n">
        <f aca="false">+K87+J87</f>
        <v>8</v>
      </c>
    </row>
    <row r="88" customFormat="false" ht="12" hidden="false" customHeight="false" outlineLevel="0" collapsed="false">
      <c r="B88" s="0" t="n">
        <v>83</v>
      </c>
      <c r="C88" s="32" t="n">
        <v>45108</v>
      </c>
      <c r="D88" s="0" t="n">
        <v>1</v>
      </c>
      <c r="E88" s="4" t="s">
        <v>155</v>
      </c>
      <c r="F88" s="0" t="n">
        <v>37</v>
      </c>
      <c r="G88" s="0" t="n">
        <v>46</v>
      </c>
      <c r="H88" s="0" t="n">
        <v>83</v>
      </c>
      <c r="I88" s="32" t="n">
        <v>45828</v>
      </c>
      <c r="J88" s="7" t="n">
        <v>4</v>
      </c>
      <c r="K88" s="7" t="n">
        <v>4</v>
      </c>
      <c r="L88" s="7" t="n">
        <f aca="false">+K88+J88</f>
        <v>8</v>
      </c>
    </row>
    <row r="89" customFormat="false" ht="12" hidden="false" customHeight="false" outlineLevel="0" collapsed="false">
      <c r="B89" s="0" t="n">
        <v>84</v>
      </c>
      <c r="C89" s="32" t="n">
        <v>45139</v>
      </c>
      <c r="D89" s="0" t="n">
        <v>0</v>
      </c>
      <c r="E89" s="4" t="s">
        <v>156</v>
      </c>
      <c r="F89" s="0" t="n">
        <v>37</v>
      </c>
      <c r="G89" s="0" t="n">
        <v>47</v>
      </c>
      <c r="H89" s="0" t="n">
        <v>84</v>
      </c>
      <c r="I89" s="32" t="n">
        <v>45859</v>
      </c>
      <c r="J89" s="7" t="n">
        <v>4</v>
      </c>
      <c r="K89" s="7" t="n">
        <v>5</v>
      </c>
      <c r="L89" s="7" t="n">
        <f aca="false">+K89+J89</f>
        <v>9</v>
      </c>
    </row>
    <row r="90" customFormat="false" ht="12" hidden="false" customHeight="false" outlineLevel="0" collapsed="false">
      <c r="B90" s="0" t="n">
        <v>85</v>
      </c>
      <c r="C90" s="32" t="n">
        <v>45139</v>
      </c>
      <c r="D90" s="0" t="n">
        <v>0</v>
      </c>
      <c r="E90" s="4" t="s">
        <v>156</v>
      </c>
      <c r="F90" s="0" t="n">
        <v>37</v>
      </c>
      <c r="G90" s="0" t="n">
        <v>48</v>
      </c>
      <c r="H90" s="0" t="n">
        <v>85</v>
      </c>
      <c r="I90" s="32" t="n">
        <v>45859</v>
      </c>
      <c r="J90" s="7" t="n">
        <v>4</v>
      </c>
      <c r="K90" s="7" t="n">
        <v>5</v>
      </c>
      <c r="L90" s="7" t="n">
        <f aca="false">+K90+J90</f>
        <v>9</v>
      </c>
    </row>
    <row r="91" customFormat="false" ht="12" hidden="false" customHeight="false" outlineLevel="0" collapsed="false">
      <c r="B91" s="0" t="n">
        <v>86</v>
      </c>
      <c r="C91" s="32" t="n">
        <v>45139</v>
      </c>
      <c r="D91" s="0" t="n">
        <v>0</v>
      </c>
      <c r="E91" s="4" t="s">
        <v>156</v>
      </c>
      <c r="F91" s="0" t="n">
        <v>37</v>
      </c>
      <c r="G91" s="0" t="n">
        <v>49</v>
      </c>
      <c r="H91" s="0" t="n">
        <v>86</v>
      </c>
      <c r="I91" s="32" t="n">
        <v>45859</v>
      </c>
      <c r="J91" s="7" t="n">
        <v>4</v>
      </c>
      <c r="K91" s="7" t="n">
        <v>5</v>
      </c>
      <c r="L91" s="7" t="n">
        <f aca="false">+K91+J91</f>
        <v>9</v>
      </c>
    </row>
    <row r="92" customFormat="false" ht="12" hidden="false" customHeight="false" outlineLevel="0" collapsed="false">
      <c r="B92" s="0" t="n">
        <v>87</v>
      </c>
      <c r="C92" s="32" t="n">
        <v>45139</v>
      </c>
      <c r="D92" s="0" t="n">
        <v>0</v>
      </c>
      <c r="E92" s="4" t="s">
        <v>156</v>
      </c>
      <c r="F92" s="0" t="n">
        <v>37</v>
      </c>
      <c r="G92" s="0" t="n">
        <v>50</v>
      </c>
      <c r="H92" s="0" t="n">
        <v>87</v>
      </c>
      <c r="I92" s="32" t="n">
        <v>45859</v>
      </c>
      <c r="J92" s="7" t="n">
        <v>4</v>
      </c>
      <c r="K92" s="7" t="n">
        <v>5</v>
      </c>
      <c r="L92" s="7" t="n">
        <f aca="false">+K92+J92</f>
        <v>9</v>
      </c>
    </row>
    <row r="93" customFormat="false" ht="12" hidden="false" customHeight="false" outlineLevel="0" collapsed="false">
      <c r="B93" s="0" t="n">
        <v>88</v>
      </c>
      <c r="C93" s="32" t="n">
        <v>45139</v>
      </c>
      <c r="D93" s="0" t="n">
        <v>1</v>
      </c>
      <c r="E93" s="4" t="s">
        <v>155</v>
      </c>
      <c r="F93" s="0" t="n">
        <v>38</v>
      </c>
      <c r="G93" s="0" t="n">
        <v>50</v>
      </c>
      <c r="H93" s="0" t="n">
        <v>88</v>
      </c>
      <c r="I93" s="32" t="n">
        <v>45859</v>
      </c>
      <c r="J93" s="7" t="n">
        <v>4</v>
      </c>
      <c r="K93" s="7" t="n">
        <v>5</v>
      </c>
      <c r="L93" s="7" t="n">
        <f aca="false">+K93+J93</f>
        <v>9</v>
      </c>
    </row>
    <row r="94" customFormat="false" ht="12" hidden="false" customHeight="false" outlineLevel="0" collapsed="false">
      <c r="B94" s="0" t="n">
        <v>89</v>
      </c>
      <c r="C94" s="32" t="n">
        <v>45170</v>
      </c>
      <c r="D94" s="0" t="n">
        <v>1</v>
      </c>
      <c r="E94" s="4" t="s">
        <v>155</v>
      </c>
      <c r="F94" s="0" t="n">
        <v>39</v>
      </c>
      <c r="G94" s="0" t="n">
        <v>50</v>
      </c>
      <c r="H94" s="0" t="n">
        <v>89</v>
      </c>
      <c r="I94" s="32" t="n">
        <v>45890</v>
      </c>
      <c r="J94" s="7" t="n">
        <v>5</v>
      </c>
      <c r="K94" s="7" t="n">
        <v>5</v>
      </c>
      <c r="L94" s="7" t="n">
        <f aca="false">+K94+J94</f>
        <v>10</v>
      </c>
    </row>
    <row r="95" customFormat="false" ht="12" hidden="false" customHeight="false" outlineLevel="0" collapsed="false">
      <c r="B95" s="0" t="n">
        <v>90</v>
      </c>
      <c r="C95" s="32" t="n">
        <v>45170</v>
      </c>
      <c r="D95" s="0" t="n">
        <v>0</v>
      </c>
      <c r="E95" s="4" t="s">
        <v>156</v>
      </c>
      <c r="F95" s="0" t="n">
        <v>39</v>
      </c>
      <c r="G95" s="0" t="n">
        <v>51</v>
      </c>
      <c r="H95" s="0" t="n">
        <v>90</v>
      </c>
      <c r="I95" s="32" t="n">
        <v>45890</v>
      </c>
      <c r="J95" s="7" t="n">
        <v>5</v>
      </c>
      <c r="K95" s="7" t="n">
        <v>5</v>
      </c>
      <c r="L95" s="7" t="n">
        <f aca="false">+K95+J95</f>
        <v>10</v>
      </c>
    </row>
    <row r="96" customFormat="false" ht="12" hidden="false" customHeight="false" outlineLevel="0" collapsed="false">
      <c r="B96" s="0" t="n">
        <v>91</v>
      </c>
      <c r="C96" s="32" t="n">
        <v>45170</v>
      </c>
      <c r="D96" s="0" t="n">
        <v>1</v>
      </c>
      <c r="E96" s="4" t="s">
        <v>155</v>
      </c>
      <c r="F96" s="0" t="n">
        <v>40</v>
      </c>
      <c r="G96" s="0" t="n">
        <v>51</v>
      </c>
      <c r="H96" s="0" t="n">
        <v>91</v>
      </c>
      <c r="I96" s="32" t="n">
        <v>45890</v>
      </c>
      <c r="J96" s="7" t="n">
        <v>5</v>
      </c>
      <c r="K96" s="7" t="n">
        <v>5</v>
      </c>
      <c r="L96" s="7" t="n">
        <f aca="false">+K96+J96</f>
        <v>10</v>
      </c>
    </row>
    <row r="97" customFormat="false" ht="12" hidden="false" customHeight="false" outlineLevel="0" collapsed="false">
      <c r="B97" s="0" t="n">
        <v>92</v>
      </c>
      <c r="C97" s="32" t="n">
        <v>45170</v>
      </c>
      <c r="D97" s="0" t="n">
        <v>0</v>
      </c>
      <c r="E97" s="4" t="s">
        <v>156</v>
      </c>
      <c r="F97" s="0" t="n">
        <v>40</v>
      </c>
      <c r="G97" s="0" t="n">
        <v>52</v>
      </c>
      <c r="H97" s="0" t="n">
        <v>92</v>
      </c>
      <c r="I97" s="32" t="n">
        <v>45890</v>
      </c>
      <c r="J97" s="7" t="n">
        <v>5</v>
      </c>
      <c r="K97" s="7" t="n">
        <v>5</v>
      </c>
      <c r="L97" s="7" t="n">
        <f aca="false">+K97+J97</f>
        <v>10</v>
      </c>
    </row>
    <row r="98" customFormat="false" ht="12" hidden="false" customHeight="false" outlineLevel="0" collapsed="false">
      <c r="B98" s="0" t="n">
        <v>93</v>
      </c>
      <c r="C98" s="32" t="n">
        <v>45170</v>
      </c>
      <c r="D98" s="0" t="n">
        <v>1</v>
      </c>
      <c r="E98" s="4" t="s">
        <v>155</v>
      </c>
      <c r="F98" s="0" t="n">
        <v>41</v>
      </c>
      <c r="G98" s="0" t="n">
        <v>52</v>
      </c>
      <c r="H98" s="0" t="n">
        <v>93</v>
      </c>
      <c r="I98" s="32" t="n">
        <v>45890</v>
      </c>
      <c r="J98" s="7" t="n">
        <v>5</v>
      </c>
      <c r="K98" s="7" t="n">
        <v>5</v>
      </c>
      <c r="L98" s="7" t="n">
        <f aca="false">+K98+J98</f>
        <v>10</v>
      </c>
    </row>
    <row r="99" customFormat="false" ht="12" hidden="false" customHeight="false" outlineLevel="0" collapsed="false">
      <c r="B99" s="0" t="n">
        <v>94</v>
      </c>
      <c r="C99" s="32" t="n">
        <v>45200</v>
      </c>
      <c r="D99" s="0" t="n">
        <v>1</v>
      </c>
      <c r="E99" s="4" t="s">
        <v>155</v>
      </c>
      <c r="F99" s="0" t="n">
        <v>42</v>
      </c>
      <c r="G99" s="0" t="n">
        <v>52</v>
      </c>
      <c r="H99" s="0" t="n">
        <v>94</v>
      </c>
      <c r="I99" s="32" t="n">
        <v>45920</v>
      </c>
      <c r="J99" s="7" t="n">
        <v>6</v>
      </c>
      <c r="K99" s="7" t="n">
        <v>5</v>
      </c>
      <c r="L99" s="7" t="n">
        <f aca="false">+K99+J99</f>
        <v>11</v>
      </c>
    </row>
    <row r="100" customFormat="false" ht="12" hidden="false" customHeight="false" outlineLevel="0" collapsed="false">
      <c r="B100" s="0" t="n">
        <v>95</v>
      </c>
      <c r="C100" s="32" t="n">
        <v>45200</v>
      </c>
      <c r="D100" s="0" t="n">
        <v>1</v>
      </c>
      <c r="E100" s="4" t="s">
        <v>155</v>
      </c>
      <c r="F100" s="0" t="n">
        <v>43</v>
      </c>
      <c r="G100" s="0" t="n">
        <v>52</v>
      </c>
      <c r="H100" s="0" t="n">
        <v>95</v>
      </c>
      <c r="I100" s="32" t="n">
        <v>45920</v>
      </c>
      <c r="J100" s="7" t="n">
        <v>6</v>
      </c>
      <c r="K100" s="7" t="n">
        <v>5</v>
      </c>
      <c r="L100" s="7" t="n">
        <f aca="false">+K100+J100</f>
        <v>11</v>
      </c>
    </row>
    <row r="101" customFormat="false" ht="12" hidden="false" customHeight="false" outlineLevel="0" collapsed="false">
      <c r="B101" s="0" t="n">
        <v>96</v>
      </c>
      <c r="C101" s="32" t="n">
        <v>45200</v>
      </c>
      <c r="D101" s="0" t="n">
        <v>0</v>
      </c>
      <c r="E101" s="4" t="s">
        <v>156</v>
      </c>
      <c r="F101" s="0" t="n">
        <v>43</v>
      </c>
      <c r="G101" s="0" t="n">
        <v>53</v>
      </c>
      <c r="H101" s="0" t="n">
        <v>96</v>
      </c>
      <c r="I101" s="32" t="n">
        <v>45920</v>
      </c>
      <c r="J101" s="7" t="n">
        <v>6</v>
      </c>
      <c r="K101" s="7" t="n">
        <v>5</v>
      </c>
      <c r="L101" s="7" t="n">
        <f aca="false">+K101+J101</f>
        <v>11</v>
      </c>
    </row>
    <row r="102" customFormat="false" ht="12" hidden="false" customHeight="false" outlineLevel="0" collapsed="false">
      <c r="B102" s="0" t="n">
        <v>97</v>
      </c>
      <c r="C102" s="32" t="n">
        <v>45200</v>
      </c>
      <c r="D102" s="0" t="n">
        <v>0</v>
      </c>
      <c r="E102" s="4" t="s">
        <v>156</v>
      </c>
      <c r="F102" s="0" t="n">
        <v>43</v>
      </c>
      <c r="G102" s="0" t="n">
        <v>54</v>
      </c>
      <c r="H102" s="0" t="n">
        <v>97</v>
      </c>
      <c r="I102" s="32" t="n">
        <v>45920</v>
      </c>
      <c r="J102" s="7" t="n">
        <v>6</v>
      </c>
      <c r="K102" s="7" t="n">
        <v>5</v>
      </c>
      <c r="L102" s="7" t="n">
        <f aca="false">+K102+J102</f>
        <v>11</v>
      </c>
    </row>
    <row r="103" customFormat="false" ht="12" hidden="false" customHeight="false" outlineLevel="0" collapsed="false">
      <c r="B103" s="0" t="n">
        <v>98</v>
      </c>
      <c r="C103" s="32" t="n">
        <v>45200</v>
      </c>
      <c r="D103" s="0" t="n">
        <v>0</v>
      </c>
      <c r="E103" s="4" t="s">
        <v>156</v>
      </c>
      <c r="F103" s="0" t="n">
        <v>43</v>
      </c>
      <c r="G103" s="0" t="n">
        <v>55</v>
      </c>
      <c r="H103" s="0" t="n">
        <v>98</v>
      </c>
      <c r="I103" s="32" t="n">
        <v>45920</v>
      </c>
      <c r="J103" s="7" t="n">
        <v>6</v>
      </c>
      <c r="K103" s="7" t="n">
        <v>5</v>
      </c>
      <c r="L103" s="7" t="n">
        <f aca="false">+K103+J103</f>
        <v>11</v>
      </c>
    </row>
    <row r="104" customFormat="false" ht="12" hidden="false" customHeight="false" outlineLevel="0" collapsed="false">
      <c r="B104" s="0" t="n">
        <v>99</v>
      </c>
      <c r="C104" s="32" t="n">
        <v>45231</v>
      </c>
      <c r="D104" s="0" t="n">
        <v>0</v>
      </c>
      <c r="E104" s="4" t="s">
        <v>156</v>
      </c>
      <c r="F104" s="0" t="n">
        <v>43</v>
      </c>
      <c r="G104" s="0" t="n">
        <v>56</v>
      </c>
      <c r="H104" s="0" t="n">
        <v>99</v>
      </c>
      <c r="I104" s="32" t="n">
        <v>45951</v>
      </c>
      <c r="J104" s="7" t="n">
        <v>7</v>
      </c>
      <c r="K104" s="7" t="n">
        <v>5</v>
      </c>
      <c r="L104" s="7" t="n">
        <f aca="false">+K104+J104</f>
        <v>12</v>
      </c>
    </row>
    <row r="105" customFormat="false" ht="12" hidden="false" customHeight="false" outlineLevel="0" collapsed="false">
      <c r="B105" s="0" t="n">
        <v>100</v>
      </c>
      <c r="C105" s="32" t="n">
        <v>45231</v>
      </c>
      <c r="D105" s="0" t="n">
        <v>0</v>
      </c>
      <c r="E105" s="4" t="s">
        <v>156</v>
      </c>
      <c r="F105" s="0" t="n">
        <v>43</v>
      </c>
      <c r="G105" s="0" t="n">
        <v>57</v>
      </c>
      <c r="H105" s="0" t="n">
        <v>100</v>
      </c>
      <c r="I105" s="32" t="n">
        <v>45951</v>
      </c>
      <c r="J105" s="7" t="n">
        <v>7</v>
      </c>
      <c r="K105" s="7" t="n">
        <v>5</v>
      </c>
      <c r="L105" s="7" t="n">
        <f aca="false">+K105+J105</f>
        <v>12</v>
      </c>
    </row>
    <row r="106" customFormat="false" ht="12" hidden="false" customHeight="false" outlineLevel="0" collapsed="false">
      <c r="B106" s="0" t="n">
        <v>101</v>
      </c>
      <c r="C106" s="32" t="n">
        <v>45231</v>
      </c>
      <c r="D106" s="0" t="n">
        <v>0</v>
      </c>
      <c r="E106" s="4" t="s">
        <v>156</v>
      </c>
      <c r="F106" s="0" t="n">
        <v>43</v>
      </c>
      <c r="G106" s="0" t="n">
        <v>58</v>
      </c>
      <c r="H106" s="0" t="n">
        <v>101</v>
      </c>
      <c r="I106" s="32" t="n">
        <v>45951</v>
      </c>
      <c r="J106" s="7" t="n">
        <v>7</v>
      </c>
      <c r="K106" s="7" t="n">
        <v>5</v>
      </c>
      <c r="L106" s="7" t="n">
        <f aca="false">+K106+J106</f>
        <v>12</v>
      </c>
    </row>
    <row r="107" customFormat="false" ht="12" hidden="false" customHeight="false" outlineLevel="0" collapsed="false">
      <c r="B107" s="0" t="n">
        <v>102</v>
      </c>
      <c r="C107" s="32" t="n">
        <v>45231</v>
      </c>
      <c r="D107" s="0" t="n">
        <v>1</v>
      </c>
      <c r="E107" s="4" t="s">
        <v>155</v>
      </c>
      <c r="F107" s="0" t="n">
        <v>44</v>
      </c>
      <c r="G107" s="0" t="n">
        <v>58</v>
      </c>
      <c r="H107" s="0" t="n">
        <v>102</v>
      </c>
      <c r="I107" s="32" t="n">
        <v>45951</v>
      </c>
      <c r="J107" s="7" t="n">
        <v>7</v>
      </c>
      <c r="K107" s="7" t="n">
        <v>5</v>
      </c>
      <c r="L107" s="7" t="n">
        <f aca="false">+K107+J107</f>
        <v>12</v>
      </c>
    </row>
    <row r="108" customFormat="false" ht="12" hidden="false" customHeight="false" outlineLevel="0" collapsed="false">
      <c r="B108" s="0" t="n">
        <v>103</v>
      </c>
      <c r="C108" s="32" t="n">
        <v>45231</v>
      </c>
      <c r="D108" s="0" t="n">
        <v>0</v>
      </c>
      <c r="E108" s="4" t="s">
        <v>156</v>
      </c>
      <c r="F108" s="0" t="n">
        <v>44</v>
      </c>
      <c r="G108" s="0" t="n">
        <v>59</v>
      </c>
      <c r="H108" s="0" t="n">
        <v>103</v>
      </c>
      <c r="I108" s="32" t="n">
        <v>45951</v>
      </c>
      <c r="J108" s="7" t="n">
        <v>7</v>
      </c>
      <c r="K108" s="7" t="n">
        <v>5</v>
      </c>
      <c r="L108" s="7" t="n">
        <f aca="false">+K108+J108</f>
        <v>12</v>
      </c>
    </row>
    <row r="109" customFormat="false" ht="12" hidden="false" customHeight="false" outlineLevel="0" collapsed="false">
      <c r="B109" s="0" t="n">
        <v>104</v>
      </c>
      <c r="C109" s="32" t="n">
        <v>45261</v>
      </c>
      <c r="D109" s="0" t="n">
        <v>1</v>
      </c>
      <c r="E109" s="4" t="s">
        <v>155</v>
      </c>
      <c r="F109" s="0" t="n">
        <v>45</v>
      </c>
      <c r="G109" s="0" t="n">
        <v>59</v>
      </c>
      <c r="H109" s="0" t="n">
        <v>104</v>
      </c>
      <c r="I109" s="32" t="n">
        <v>45981</v>
      </c>
      <c r="J109" s="7" t="n">
        <v>8</v>
      </c>
      <c r="K109" s="7" t="n">
        <v>5</v>
      </c>
      <c r="L109" s="7" t="n">
        <f aca="false">+K109+J109</f>
        <v>13</v>
      </c>
    </row>
    <row r="110" customFormat="false" ht="12" hidden="false" customHeight="false" outlineLevel="0" collapsed="false">
      <c r="B110" s="0" t="n">
        <v>105</v>
      </c>
      <c r="C110" s="32" t="n">
        <v>45261</v>
      </c>
      <c r="D110" s="0" t="n">
        <v>1</v>
      </c>
      <c r="E110" s="4" t="s">
        <v>155</v>
      </c>
      <c r="F110" s="0" t="n">
        <v>46</v>
      </c>
      <c r="G110" s="0" t="n">
        <v>59</v>
      </c>
      <c r="H110" s="0" t="n">
        <v>105</v>
      </c>
      <c r="I110" s="32" t="n">
        <v>45981</v>
      </c>
      <c r="J110" s="7" t="n">
        <v>8</v>
      </c>
      <c r="K110" s="7" t="n">
        <v>5</v>
      </c>
      <c r="L110" s="7" t="n">
        <f aca="false">+K110+J110</f>
        <v>13</v>
      </c>
    </row>
    <row r="111" customFormat="false" ht="12" hidden="false" customHeight="false" outlineLevel="0" collapsed="false">
      <c r="B111" s="0" t="n">
        <v>106</v>
      </c>
      <c r="C111" s="32" t="n">
        <v>45261</v>
      </c>
      <c r="D111" s="0" t="n">
        <v>0</v>
      </c>
      <c r="E111" s="4" t="s">
        <v>156</v>
      </c>
      <c r="F111" s="0" t="n">
        <v>46</v>
      </c>
      <c r="G111" s="0" t="n">
        <v>60</v>
      </c>
      <c r="H111" s="0" t="n">
        <v>106</v>
      </c>
      <c r="I111" s="32" t="n">
        <v>45981</v>
      </c>
      <c r="J111" s="7" t="n">
        <v>8</v>
      </c>
      <c r="K111" s="7" t="n">
        <v>5</v>
      </c>
      <c r="L111" s="7" t="n">
        <f aca="false">+K111+J111</f>
        <v>13</v>
      </c>
    </row>
    <row r="112" customFormat="false" ht="12" hidden="false" customHeight="false" outlineLevel="0" collapsed="false">
      <c r="B112" s="0" t="n">
        <v>107</v>
      </c>
      <c r="C112" s="32" t="n">
        <v>45261</v>
      </c>
      <c r="D112" s="0" t="n">
        <v>1</v>
      </c>
      <c r="E112" s="4" t="s">
        <v>155</v>
      </c>
      <c r="F112" s="0" t="n">
        <v>47</v>
      </c>
      <c r="G112" s="0" t="n">
        <v>60</v>
      </c>
      <c r="H112" s="0" t="n">
        <v>107</v>
      </c>
      <c r="I112" s="32" t="n">
        <v>45981</v>
      </c>
      <c r="J112" s="7" t="n">
        <v>8</v>
      </c>
      <c r="K112" s="7" t="n">
        <v>5</v>
      </c>
      <c r="L112" s="7" t="n">
        <f aca="false">+K112+J112</f>
        <v>13</v>
      </c>
    </row>
    <row r="113" customFormat="false" ht="12" hidden="false" customHeight="false" outlineLevel="0" collapsed="false">
      <c r="B113" s="0" t="n">
        <v>108</v>
      </c>
      <c r="C113" s="32" t="n">
        <v>45261</v>
      </c>
      <c r="D113" s="0" t="n">
        <v>0</v>
      </c>
      <c r="E113" s="4" t="s">
        <v>156</v>
      </c>
      <c r="F113" s="0" t="n">
        <v>47</v>
      </c>
      <c r="G113" s="0" t="n">
        <v>61</v>
      </c>
      <c r="H113" s="0" t="n">
        <v>108</v>
      </c>
      <c r="I113" s="32" t="n">
        <v>45981</v>
      </c>
      <c r="J113" s="7" t="n">
        <v>8</v>
      </c>
      <c r="K113" s="7" t="n">
        <v>5</v>
      </c>
      <c r="L113" s="7" t="n">
        <f aca="false">+K113+J113</f>
        <v>13</v>
      </c>
    </row>
    <row r="114" customFormat="false" ht="12" hidden="false" customHeight="false" outlineLevel="0" collapsed="false">
      <c r="B114" s="0" t="n">
        <v>109</v>
      </c>
      <c r="C114" s="32" t="n">
        <v>45292</v>
      </c>
      <c r="D114" s="0" t="n">
        <v>0</v>
      </c>
      <c r="E114" s="4" t="s">
        <v>156</v>
      </c>
      <c r="F114" s="0" t="n">
        <v>47</v>
      </c>
      <c r="G114" s="0" t="n">
        <v>62</v>
      </c>
      <c r="H114" s="0" t="n">
        <v>109</v>
      </c>
      <c r="I114" s="32" t="n">
        <v>46012</v>
      </c>
      <c r="J114" s="7" t="n">
        <v>9</v>
      </c>
      <c r="K114" s="7" t="n">
        <v>5</v>
      </c>
      <c r="L114" s="7" t="n">
        <f aca="false">+K114+J114</f>
        <v>14</v>
      </c>
    </row>
    <row r="115" customFormat="false" ht="12" hidden="false" customHeight="false" outlineLevel="0" collapsed="false">
      <c r="B115" s="0" t="n">
        <v>110</v>
      </c>
      <c r="C115" s="32" t="n">
        <v>45292</v>
      </c>
      <c r="D115" s="0" t="n">
        <v>0</v>
      </c>
      <c r="E115" s="4" t="s">
        <v>156</v>
      </c>
      <c r="F115" s="0" t="n">
        <v>47</v>
      </c>
      <c r="G115" s="0" t="n">
        <v>63</v>
      </c>
      <c r="H115" s="0" t="n">
        <v>110</v>
      </c>
      <c r="I115" s="32" t="n">
        <v>46012</v>
      </c>
      <c r="J115" s="7" t="n">
        <v>9</v>
      </c>
      <c r="K115" s="7" t="n">
        <v>5</v>
      </c>
      <c r="L115" s="7" t="n">
        <f aca="false">+K115+J115</f>
        <v>14</v>
      </c>
    </row>
    <row r="116" customFormat="false" ht="12" hidden="false" customHeight="false" outlineLevel="0" collapsed="false">
      <c r="B116" s="0" t="n">
        <v>111</v>
      </c>
      <c r="C116" s="32" t="n">
        <v>45292</v>
      </c>
      <c r="D116" s="0" t="n">
        <v>1</v>
      </c>
      <c r="E116" s="4" t="s">
        <v>155</v>
      </c>
      <c r="F116" s="0" t="n">
        <v>48</v>
      </c>
      <c r="G116" s="0" t="n">
        <v>63</v>
      </c>
      <c r="H116" s="0" t="n">
        <v>111</v>
      </c>
      <c r="I116" s="32" t="n">
        <v>46012</v>
      </c>
      <c r="J116" s="7" t="n">
        <v>9</v>
      </c>
      <c r="K116" s="7" t="n">
        <v>5</v>
      </c>
      <c r="L116" s="7" t="n">
        <f aca="false">+K116+J116</f>
        <v>14</v>
      </c>
    </row>
    <row r="117" customFormat="false" ht="12" hidden="false" customHeight="false" outlineLevel="0" collapsed="false">
      <c r="B117" s="0" t="n">
        <v>112</v>
      </c>
      <c r="C117" s="32" t="n">
        <v>45292</v>
      </c>
      <c r="D117" s="0" t="n">
        <v>1</v>
      </c>
      <c r="E117" s="4" t="s">
        <v>155</v>
      </c>
      <c r="F117" s="0" t="n">
        <v>49</v>
      </c>
      <c r="G117" s="0" t="n">
        <v>63</v>
      </c>
      <c r="H117" s="0" t="n">
        <v>112</v>
      </c>
      <c r="I117" s="32" t="n">
        <v>46012</v>
      </c>
      <c r="J117" s="7" t="n">
        <v>9</v>
      </c>
      <c r="K117" s="7" t="n">
        <v>5</v>
      </c>
      <c r="L117" s="7" t="n">
        <f aca="false">+K117+J117</f>
        <v>14</v>
      </c>
    </row>
    <row r="118" customFormat="false" ht="12" hidden="false" customHeight="false" outlineLevel="0" collapsed="false">
      <c r="B118" s="0" t="n">
        <v>113</v>
      </c>
      <c r="C118" s="32" t="n">
        <v>45292</v>
      </c>
      <c r="D118" s="0" t="n">
        <v>0</v>
      </c>
      <c r="E118" s="4" t="s">
        <v>156</v>
      </c>
      <c r="F118" s="0" t="n">
        <v>49</v>
      </c>
      <c r="G118" s="0" t="n">
        <v>64</v>
      </c>
      <c r="H118" s="0" t="n">
        <v>113</v>
      </c>
      <c r="I118" s="32" t="n">
        <v>46012</v>
      </c>
      <c r="J118" s="7" t="n">
        <v>9</v>
      </c>
      <c r="K118" s="7" t="n">
        <v>5</v>
      </c>
      <c r="L118" s="7" t="n">
        <f aca="false">+K118+J118</f>
        <v>14</v>
      </c>
    </row>
    <row r="119" customFormat="false" ht="12" hidden="false" customHeight="false" outlineLevel="0" collapsed="false">
      <c r="B119" s="0" t="n">
        <v>114</v>
      </c>
      <c r="C119" s="32" t="n">
        <v>45323</v>
      </c>
      <c r="D119" s="0" t="n">
        <v>1</v>
      </c>
      <c r="E119" s="4" t="s">
        <v>155</v>
      </c>
      <c r="F119" s="0" t="n">
        <v>50</v>
      </c>
      <c r="G119" s="0" t="n">
        <v>64</v>
      </c>
      <c r="H119" s="0" t="n">
        <v>114</v>
      </c>
      <c r="I119" s="32" t="n">
        <v>46043</v>
      </c>
      <c r="J119" s="7" t="n">
        <v>9</v>
      </c>
      <c r="K119" s="7" t="n">
        <v>6</v>
      </c>
      <c r="L119" s="7" t="n">
        <f aca="false">+K119+J119</f>
        <v>15</v>
      </c>
    </row>
    <row r="120" customFormat="false" ht="12" hidden="false" customHeight="false" outlineLevel="0" collapsed="false">
      <c r="B120" s="0" t="n">
        <v>115</v>
      </c>
      <c r="C120" s="32" t="n">
        <v>45323</v>
      </c>
      <c r="D120" s="0" t="n">
        <v>1</v>
      </c>
      <c r="E120" s="4" t="s">
        <v>155</v>
      </c>
      <c r="F120" s="0" t="n">
        <v>51</v>
      </c>
      <c r="G120" s="0" t="n">
        <v>64</v>
      </c>
      <c r="H120" s="0" t="n">
        <v>115</v>
      </c>
      <c r="I120" s="32" t="n">
        <v>46043</v>
      </c>
      <c r="J120" s="7" t="n">
        <v>9</v>
      </c>
      <c r="K120" s="7" t="n">
        <v>7</v>
      </c>
      <c r="L120" s="7" t="n">
        <f aca="false">+K120+J120</f>
        <v>16</v>
      </c>
    </row>
    <row r="121" customFormat="false" ht="12" hidden="false" customHeight="false" outlineLevel="0" collapsed="false">
      <c r="B121" s="0" t="n">
        <v>116</v>
      </c>
      <c r="C121" s="32" t="n">
        <v>45323</v>
      </c>
      <c r="D121" s="0" t="n">
        <v>0</v>
      </c>
      <c r="E121" s="4" t="s">
        <v>156</v>
      </c>
      <c r="F121" s="0" t="n">
        <v>51</v>
      </c>
      <c r="G121" s="0" t="n">
        <v>65</v>
      </c>
      <c r="H121" s="0" t="n">
        <v>116</v>
      </c>
      <c r="I121" s="32" t="n">
        <v>46043</v>
      </c>
      <c r="J121" s="7" t="n">
        <v>9</v>
      </c>
      <c r="K121" s="7" t="n">
        <v>7</v>
      </c>
      <c r="L121" s="7" t="n">
        <f aca="false">+K121+J121</f>
        <v>16</v>
      </c>
    </row>
    <row r="122" customFormat="false" ht="12" hidden="false" customHeight="false" outlineLevel="0" collapsed="false">
      <c r="B122" s="0" t="n">
        <v>117</v>
      </c>
      <c r="C122" s="32" t="n">
        <v>45323</v>
      </c>
      <c r="D122" s="0" t="n">
        <v>0</v>
      </c>
      <c r="E122" s="4" t="s">
        <v>156</v>
      </c>
      <c r="F122" s="0" t="n">
        <v>51</v>
      </c>
      <c r="G122" s="0" t="n">
        <v>66</v>
      </c>
      <c r="H122" s="0" t="n">
        <v>117</v>
      </c>
      <c r="I122" s="32" t="n">
        <v>46043</v>
      </c>
      <c r="J122" s="7" t="n">
        <v>9</v>
      </c>
      <c r="K122" s="7" t="n">
        <v>7</v>
      </c>
      <c r="L122" s="7" t="n">
        <f aca="false">+K122+J122</f>
        <v>16</v>
      </c>
    </row>
    <row r="123" customFormat="false" ht="12" hidden="false" customHeight="false" outlineLevel="0" collapsed="false">
      <c r="B123" s="0" t="n">
        <v>118</v>
      </c>
      <c r="C123" s="32" t="n">
        <v>45323</v>
      </c>
      <c r="D123" s="0" t="n">
        <v>0</v>
      </c>
      <c r="E123" s="4" t="s">
        <v>156</v>
      </c>
      <c r="F123" s="0" t="n">
        <v>51</v>
      </c>
      <c r="G123" s="0" t="n">
        <v>67</v>
      </c>
      <c r="H123" s="0" t="n">
        <v>118</v>
      </c>
      <c r="I123" s="32" t="n">
        <v>46043</v>
      </c>
      <c r="J123" s="7" t="n">
        <v>9</v>
      </c>
      <c r="K123" s="7" t="n">
        <v>7</v>
      </c>
      <c r="L123" s="7" t="n">
        <f aca="false">+K123+J123</f>
        <v>16</v>
      </c>
    </row>
    <row r="124" customFormat="false" ht="12" hidden="false" customHeight="false" outlineLevel="0" collapsed="false">
      <c r="B124" s="0" t="n">
        <v>119</v>
      </c>
      <c r="C124" s="32" t="n">
        <v>45352</v>
      </c>
      <c r="D124" s="0" t="n">
        <v>1</v>
      </c>
      <c r="E124" s="4" t="s">
        <v>155</v>
      </c>
      <c r="F124" s="0" t="n">
        <v>52</v>
      </c>
      <c r="G124" s="0" t="n">
        <v>67</v>
      </c>
      <c r="H124" s="0" t="n">
        <v>119</v>
      </c>
      <c r="I124" s="32" t="n">
        <v>46072</v>
      </c>
      <c r="J124" s="7" t="n">
        <v>10</v>
      </c>
      <c r="K124" s="7" t="n">
        <v>7</v>
      </c>
      <c r="L124" s="7" t="n">
        <f aca="false">+K124+J124</f>
        <v>17</v>
      </c>
    </row>
    <row r="125" customFormat="false" ht="12" hidden="false" customHeight="false" outlineLevel="0" collapsed="false">
      <c r="B125" s="0" t="n">
        <v>120</v>
      </c>
      <c r="C125" s="32" t="n">
        <v>45352</v>
      </c>
      <c r="D125" s="0" t="n">
        <v>1</v>
      </c>
      <c r="E125" s="4" t="s">
        <v>155</v>
      </c>
      <c r="F125" s="0" t="n">
        <v>53</v>
      </c>
      <c r="G125" s="0" t="n">
        <v>67</v>
      </c>
      <c r="H125" s="0" t="n">
        <v>120</v>
      </c>
      <c r="I125" s="32" t="n">
        <v>46072</v>
      </c>
      <c r="J125" s="7" t="n">
        <v>10</v>
      </c>
      <c r="K125" s="7" t="n">
        <v>8</v>
      </c>
      <c r="L125" s="7" t="n">
        <f aca="false">+K125+J125</f>
        <v>18</v>
      </c>
    </row>
    <row r="126" customFormat="false" ht="12" hidden="false" customHeight="false" outlineLevel="0" collapsed="false">
      <c r="B126" s="0" t="n">
        <v>121</v>
      </c>
      <c r="C126" s="32" t="n">
        <v>45352</v>
      </c>
      <c r="D126" s="0" t="n">
        <v>1</v>
      </c>
      <c r="E126" s="4" t="s">
        <v>155</v>
      </c>
      <c r="F126" s="0" t="n">
        <v>54</v>
      </c>
      <c r="G126" s="0" t="n">
        <v>67</v>
      </c>
      <c r="H126" s="0" t="n">
        <v>121</v>
      </c>
      <c r="I126" s="32" t="n">
        <v>46072</v>
      </c>
      <c r="J126" s="7" t="n">
        <v>10</v>
      </c>
      <c r="K126" s="7" t="n">
        <v>8</v>
      </c>
      <c r="L126" s="7" t="n">
        <f aca="false">+K126+J126</f>
        <v>18</v>
      </c>
    </row>
    <row r="127" customFormat="false" ht="12" hidden="false" customHeight="false" outlineLevel="0" collapsed="false">
      <c r="B127" s="0" t="n">
        <v>122</v>
      </c>
      <c r="C127" s="32" t="n">
        <v>45352</v>
      </c>
      <c r="D127" s="0" t="n">
        <v>0</v>
      </c>
      <c r="E127" s="4" t="s">
        <v>156</v>
      </c>
      <c r="F127" s="0" t="n">
        <v>54</v>
      </c>
      <c r="G127" s="0" t="n">
        <v>68</v>
      </c>
      <c r="H127" s="0" t="n">
        <v>122</v>
      </c>
      <c r="I127" s="32" t="n">
        <v>46072</v>
      </c>
      <c r="J127" s="7" t="n">
        <v>10</v>
      </c>
      <c r="K127" s="7" t="n">
        <v>8</v>
      </c>
      <c r="L127" s="7" t="n">
        <f aca="false">+K127+J127</f>
        <v>18</v>
      </c>
    </row>
    <row r="128" customFormat="false" ht="12" hidden="false" customHeight="false" outlineLevel="0" collapsed="false">
      <c r="B128" s="0" t="n">
        <v>123</v>
      </c>
      <c r="C128" s="32" t="n">
        <v>45352</v>
      </c>
      <c r="D128" s="0" t="n">
        <v>1</v>
      </c>
      <c r="E128" s="4" t="s">
        <v>155</v>
      </c>
      <c r="F128" s="0" t="n">
        <v>55</v>
      </c>
      <c r="G128" s="0" t="n">
        <v>68</v>
      </c>
      <c r="H128" s="0" t="n">
        <v>123</v>
      </c>
      <c r="I128" s="32" t="n">
        <v>46072</v>
      </c>
      <c r="J128" s="7" t="n">
        <v>10</v>
      </c>
      <c r="K128" s="7" t="n">
        <v>8</v>
      </c>
      <c r="L128" s="7" t="n">
        <f aca="false">+K128+J128</f>
        <v>18</v>
      </c>
    </row>
    <row r="129" customFormat="false" ht="12" hidden="false" customHeight="false" outlineLevel="0" collapsed="false">
      <c r="B129" s="0" t="n">
        <v>124</v>
      </c>
      <c r="C129" s="32" t="n">
        <v>45383</v>
      </c>
      <c r="D129" s="0" t="n">
        <v>0</v>
      </c>
      <c r="E129" s="4" t="s">
        <v>156</v>
      </c>
      <c r="F129" s="0" t="n">
        <v>55</v>
      </c>
      <c r="G129" s="0" t="n">
        <v>69</v>
      </c>
      <c r="H129" s="0" t="n">
        <v>124</v>
      </c>
      <c r="I129" s="32" t="n">
        <v>46103</v>
      </c>
      <c r="J129" s="7" t="n">
        <v>10</v>
      </c>
      <c r="K129" s="7" t="n">
        <v>9</v>
      </c>
      <c r="L129" s="7" t="n">
        <f aca="false">+K129+J129</f>
        <v>19</v>
      </c>
    </row>
    <row r="130" customFormat="false" ht="12" hidden="false" customHeight="false" outlineLevel="0" collapsed="false">
      <c r="B130" s="0" t="n">
        <v>125</v>
      </c>
      <c r="C130" s="32" t="n">
        <v>45383</v>
      </c>
      <c r="D130" s="0" t="n">
        <v>0</v>
      </c>
      <c r="E130" s="4" t="s">
        <v>156</v>
      </c>
      <c r="F130" s="0" t="n">
        <v>55</v>
      </c>
      <c r="G130" s="0" t="n">
        <v>70</v>
      </c>
      <c r="H130" s="0" t="n">
        <v>125</v>
      </c>
      <c r="I130" s="32" t="n">
        <v>46103</v>
      </c>
      <c r="J130" s="7" t="n">
        <v>11</v>
      </c>
      <c r="K130" s="7" t="n">
        <v>9</v>
      </c>
      <c r="L130" s="7" t="n">
        <f aca="false">+K130+J130</f>
        <v>20</v>
      </c>
    </row>
    <row r="131" customFormat="false" ht="12" hidden="false" customHeight="false" outlineLevel="0" collapsed="false">
      <c r="B131" s="0" t="n">
        <v>126</v>
      </c>
      <c r="C131" s="32" t="n">
        <v>45383</v>
      </c>
      <c r="D131" s="0" t="n">
        <v>0</v>
      </c>
      <c r="E131" s="4" t="s">
        <v>156</v>
      </c>
      <c r="F131" s="0" t="n">
        <v>55</v>
      </c>
      <c r="G131" s="0" t="n">
        <v>71</v>
      </c>
      <c r="H131" s="0" t="n">
        <v>126</v>
      </c>
      <c r="I131" s="32" t="n">
        <v>46103</v>
      </c>
      <c r="J131" s="7" t="n">
        <v>11</v>
      </c>
      <c r="K131" s="7" t="n">
        <v>10</v>
      </c>
      <c r="L131" s="7" t="n">
        <f aca="false">+K131+J131</f>
        <v>21</v>
      </c>
    </row>
    <row r="132" customFormat="false" ht="12" hidden="false" customHeight="false" outlineLevel="0" collapsed="false">
      <c r="B132" s="0" t="n">
        <v>127</v>
      </c>
      <c r="C132" s="32" t="n">
        <v>45383</v>
      </c>
      <c r="D132" s="0" t="n">
        <v>1</v>
      </c>
      <c r="E132" s="4" t="s">
        <v>155</v>
      </c>
      <c r="F132" s="0" t="n">
        <v>56</v>
      </c>
      <c r="G132" s="0" t="n">
        <v>71</v>
      </c>
      <c r="H132" s="0" t="n">
        <v>127</v>
      </c>
      <c r="I132" s="32" t="n">
        <v>46103</v>
      </c>
      <c r="J132" s="7" t="n">
        <v>11</v>
      </c>
      <c r="K132" s="7" t="n">
        <v>10</v>
      </c>
      <c r="L132" s="7" t="n">
        <f aca="false">+K132+J132</f>
        <v>21</v>
      </c>
    </row>
    <row r="133" customFormat="false" ht="12" hidden="false" customHeight="false" outlineLevel="0" collapsed="false">
      <c r="C133" s="32" t="n">
        <v>45413</v>
      </c>
      <c r="J133" s="7" t="n">
        <f aca="false">+J132+2</f>
        <v>13</v>
      </c>
      <c r="K133" s="7" t="n">
        <f aca="false">+K132+1</f>
        <v>11</v>
      </c>
      <c r="L133" s="7" t="n">
        <f aca="false">+K133+J133</f>
        <v>24</v>
      </c>
    </row>
    <row r="134" customFormat="false" ht="12" hidden="false" customHeight="false" outlineLevel="0" collapsed="false">
      <c r="C134" s="32" t="n">
        <f aca="false">C133+31</f>
        <v>45444</v>
      </c>
      <c r="J134" s="7" t="n">
        <f aca="false">+J133+1</f>
        <v>14</v>
      </c>
      <c r="K134" s="7" t="n">
        <f aca="false">+K133+2</f>
        <v>13</v>
      </c>
      <c r="L134" s="7" t="n">
        <f aca="false">+K134+J134</f>
        <v>27</v>
      </c>
    </row>
    <row r="135" customFormat="false" ht="12" hidden="false" customHeight="false" outlineLevel="0" collapsed="false">
      <c r="C135" s="32" t="n">
        <f aca="false">C134+31</f>
        <v>45475</v>
      </c>
      <c r="J135" s="7" t="n">
        <f aca="false">+J134+2</f>
        <v>16</v>
      </c>
      <c r="K135" s="7" t="n">
        <f aca="false">+K134+1</f>
        <v>14</v>
      </c>
      <c r="L135" s="7" t="n">
        <f aca="false">+K135+J135</f>
        <v>30</v>
      </c>
    </row>
    <row r="136" customFormat="false" ht="12" hidden="false" customHeight="false" outlineLevel="0" collapsed="false">
      <c r="C136" s="32" t="n">
        <f aca="false">C135+31</f>
        <v>45506</v>
      </c>
      <c r="J136" s="7" t="n">
        <f aca="false">+J135+1</f>
        <v>17</v>
      </c>
      <c r="K136" s="7" t="n">
        <f aca="false">+K135+3</f>
        <v>17</v>
      </c>
      <c r="L136" s="7" t="n">
        <f aca="false">+K136+J136</f>
        <v>34</v>
      </c>
    </row>
    <row r="137" customFormat="false" ht="12" hidden="false" customHeight="false" outlineLevel="0" collapsed="false">
      <c r="C137" s="32" t="n">
        <f aca="false">C136+31</f>
        <v>45537</v>
      </c>
      <c r="J137" s="7" t="n">
        <f aca="false">+J136+3</f>
        <v>20</v>
      </c>
      <c r="K137" s="7" t="n">
        <f aca="false">+K136+1</f>
        <v>18</v>
      </c>
      <c r="L137" s="7" t="n">
        <f aca="false">+K137+J137</f>
        <v>38</v>
      </c>
    </row>
    <row r="138" customFormat="false" ht="12" hidden="false" customHeight="false" outlineLevel="0" collapsed="false">
      <c r="C138" s="32" t="n">
        <f aca="false">C137+31</f>
        <v>45568</v>
      </c>
      <c r="J138" s="7" t="n">
        <f aca="false">+J137+2</f>
        <v>22</v>
      </c>
      <c r="K138" s="7" t="n">
        <f aca="false">+K137+3</f>
        <v>21</v>
      </c>
      <c r="L138" s="7" t="n">
        <f aca="false">+K138+J138</f>
        <v>43</v>
      </c>
    </row>
    <row r="139" customFormat="false" ht="12" hidden="false" customHeight="false" outlineLevel="0" collapsed="false">
      <c r="C139" s="32" t="n">
        <f aca="false">C138+31</f>
        <v>45599</v>
      </c>
      <c r="J139" s="7" t="n">
        <f aca="false">+J138+1</f>
        <v>23</v>
      </c>
      <c r="K139" s="7" t="n">
        <f aca="false">+K138+4</f>
        <v>25</v>
      </c>
      <c r="L139" s="7" t="n">
        <f aca="false">+K139+J139</f>
        <v>48</v>
      </c>
    </row>
    <row r="140" customFormat="false" ht="12" hidden="false" customHeight="false" outlineLevel="0" collapsed="false">
      <c r="C140" s="32" t="n">
        <f aca="false">C139+31</f>
        <v>45630</v>
      </c>
      <c r="J140" s="7" t="n">
        <f aca="false">+J139+1</f>
        <v>24</v>
      </c>
      <c r="K140" s="7" t="n">
        <f aca="false">+K139+4</f>
        <v>29</v>
      </c>
      <c r="L140" s="7" t="n">
        <f aca="false">+K140+J140</f>
        <v>53</v>
      </c>
    </row>
    <row r="141" customFormat="false" ht="12" hidden="false" customHeight="false" outlineLevel="0" collapsed="false">
      <c r="C141" s="32" t="n">
        <f aca="false">C140+31</f>
        <v>45661</v>
      </c>
      <c r="L141" s="7" t="n">
        <f aca="false">+K141+J141</f>
        <v>0</v>
      </c>
    </row>
    <row r="142" customFormat="false" ht="12" hidden="false" customHeight="false" outlineLevel="0" collapsed="false">
      <c r="C142" s="32" t="n">
        <f aca="false">C141+31</f>
        <v>45692</v>
      </c>
    </row>
    <row r="143" customFormat="false" ht="12" hidden="false" customHeight="false" outlineLevel="0" collapsed="false">
      <c r="C143" s="32" t="n">
        <f aca="false">C142+31</f>
        <v>45723</v>
      </c>
    </row>
    <row r="144" customFormat="false" ht="12" hidden="false" customHeight="false" outlineLevel="0" collapsed="false">
      <c r="C144" s="32" t="n">
        <f aca="false">C143+31</f>
        <v>45754</v>
      </c>
    </row>
    <row r="145" customFormat="false" ht="12" hidden="false" customHeight="false" outlineLevel="0" collapsed="false">
      <c r="C145" s="32" t="n">
        <f aca="false">C144+31</f>
        <v>45785</v>
      </c>
    </row>
    <row r="146" customFormat="false" ht="12" hidden="false" customHeight="false" outlineLevel="0" collapsed="false">
      <c r="C146" s="32" t="n">
        <f aca="false">C145+31</f>
        <v>45816</v>
      </c>
    </row>
    <row r="147" customFormat="false" ht="12" hidden="false" customHeight="false" outlineLevel="0" collapsed="false">
      <c r="C147" s="32" t="n">
        <f aca="false">C146+31</f>
        <v>45847</v>
      </c>
    </row>
    <row r="148" customFormat="false" ht="12" hidden="false" customHeight="false" outlineLevel="0" collapsed="false">
      <c r="C148" s="32" t="n">
        <f aca="false">C147+31</f>
        <v>45878</v>
      </c>
    </row>
    <row r="149" customFormat="false" ht="12" hidden="false" customHeight="false" outlineLevel="0" collapsed="false">
      <c r="C149" s="32" t="n">
        <f aca="false">C148+31</f>
        <v>45909</v>
      </c>
    </row>
    <row r="150" customFormat="false" ht="12" hidden="false" customHeight="false" outlineLevel="0" collapsed="false">
      <c r="C150" s="32" t="n">
        <f aca="false">C149+31</f>
        <v>45940</v>
      </c>
    </row>
    <row r="151" customFormat="false" ht="12" hidden="false" customHeight="false" outlineLevel="0" collapsed="false">
      <c r="C151" s="32" t="n">
        <f aca="false">C150+31</f>
        <v>45971</v>
      </c>
    </row>
    <row r="152" customFormat="false" ht="12" hidden="false" customHeight="false" outlineLevel="0" collapsed="false">
      <c r="C152" s="32" t="n">
        <f aca="false">C151+31</f>
        <v>46002</v>
      </c>
    </row>
  </sheetData>
  <mergeCells count="1">
    <mergeCell ref="J4:L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8"/>
    <col collapsed="false" customWidth="true" hidden="false" outlineLevel="0" max="2" min="2" style="0" width="34"/>
    <col collapsed="false" customWidth="true" hidden="false" outlineLevel="0" max="5" min="3" style="0" width="13"/>
  </cols>
  <sheetData>
    <row r="1" customFormat="false" ht="15" hidden="false" customHeight="false" outlineLevel="0" collapsed="false">
      <c r="B1" s="34" t="s">
        <v>157</v>
      </c>
    </row>
    <row r="2" customFormat="false" ht="42" hidden="false" customHeight="true" outlineLevel="0" collapsed="false">
      <c r="B2" s="35" t="s">
        <v>158</v>
      </c>
      <c r="C2" s="35"/>
      <c r="D2" s="35"/>
      <c r="E2" s="35"/>
    </row>
    <row r="4" customFormat="false" ht="15" hidden="false" customHeight="false" outlineLevel="0" collapsed="false">
      <c r="B4" s="36" t="s">
        <v>159</v>
      </c>
    </row>
    <row r="5" customFormat="false" ht="15" hidden="false" customHeight="false" outlineLevel="0" collapsed="false">
      <c r="B5" s="37" t="s">
        <v>160</v>
      </c>
      <c r="C5" s="38" t="n">
        <f aca="false">Main!L5</f>
        <v>138.3</v>
      </c>
    </row>
    <row r="6" customFormat="false" ht="15" hidden="false" customHeight="false" outlineLevel="0" collapsed="false">
      <c r="B6" s="37" t="s">
        <v>161</v>
      </c>
      <c r="C6" s="39" t="n">
        <f aca="false">Main!L3</f>
        <v>201.945709</v>
      </c>
    </row>
    <row r="7" customFormat="false" ht="15" hidden="false" customHeight="false" outlineLevel="0" collapsed="false">
      <c r="B7" s="37" t="s">
        <v>162</v>
      </c>
      <c r="C7" s="40" t="n">
        <f aca="false">Main!L2</f>
        <v>11.55</v>
      </c>
    </row>
    <row r="8" customFormat="false" ht="15" hidden="false" customHeight="false" outlineLevel="0" collapsed="false">
      <c r="B8" s="37" t="s">
        <v>163</v>
      </c>
      <c r="C8" s="41" t="n">
        <v>8.2</v>
      </c>
    </row>
    <row r="9" customFormat="false" ht="15" hidden="false" customHeight="false" outlineLevel="0" collapsed="false">
      <c r="B9" s="37" t="s">
        <v>164</v>
      </c>
      <c r="C9" s="42" t="n">
        <v>2</v>
      </c>
    </row>
    <row r="10" customFormat="false" ht="15" hidden="false" customHeight="false" outlineLevel="0" collapsed="false">
      <c r="B10" s="37" t="s">
        <v>165</v>
      </c>
      <c r="C10" s="43" t="n">
        <f aca="false">C8*C9</f>
        <v>16.4</v>
      </c>
    </row>
    <row r="11" customFormat="false" ht="15" hidden="false" customHeight="false" outlineLevel="0" collapsed="false">
      <c r="B11" s="36" t="s">
        <v>166</v>
      </c>
      <c r="C11" s="44" t="n">
        <f aca="false">C5-C10</f>
        <v>121.9</v>
      </c>
    </row>
    <row r="12" customFormat="false" ht="15" hidden="false" customHeight="false" outlineLevel="0" collapsed="false">
      <c r="B12" s="37" t="s">
        <v>167</v>
      </c>
      <c r="C12" s="45" t="n">
        <v>0</v>
      </c>
    </row>
    <row r="14" customFormat="false" ht="15" hidden="false" customHeight="false" outlineLevel="0" collapsed="false">
      <c r="B14" s="36" t="s">
        <v>168</v>
      </c>
    </row>
    <row r="15" customFormat="false" ht="15" hidden="false" customHeight="false" outlineLevel="0" collapsed="false">
      <c r="C15" s="46" t="s">
        <v>169</v>
      </c>
      <c r="D15" s="46" t="s">
        <v>170</v>
      </c>
      <c r="E15" s="46" t="s">
        <v>171</v>
      </c>
    </row>
    <row r="16" customFormat="false" ht="15" hidden="false" customHeight="false" outlineLevel="0" collapsed="false">
      <c r="B16" s="37" t="s">
        <v>172</v>
      </c>
      <c r="C16" s="47" t="n">
        <v>30</v>
      </c>
      <c r="D16" s="47" t="n">
        <v>100</v>
      </c>
      <c r="E16" s="47" t="n">
        <v>200</v>
      </c>
    </row>
    <row r="18" customFormat="false" ht="15" hidden="false" customHeight="false" outlineLevel="0" collapsed="false">
      <c r="B18" s="37" t="s">
        <v>173</v>
      </c>
      <c r="C18" s="43" t="n">
        <f aca="false">$C$11+C16+$C$12</f>
        <v>151.9</v>
      </c>
      <c r="D18" s="43" t="n">
        <f aca="false">$C$11+D16+$C$12</f>
        <v>221.9</v>
      </c>
      <c r="E18" s="43" t="n">
        <f aca="false">$C$11+E16+$C$12</f>
        <v>321.9</v>
      </c>
    </row>
    <row r="19" customFormat="false" ht="15" hidden="false" customHeight="false" outlineLevel="0" collapsed="false">
      <c r="B19" s="36" t="s">
        <v>174</v>
      </c>
      <c r="C19" s="48" t="n">
        <f aca="false">C18/$C$6</f>
        <v>0.752182360061931</v>
      </c>
      <c r="D19" s="48" t="n">
        <f aca="false">D18/$C$6</f>
        <v>1.09881017575867</v>
      </c>
      <c r="E19" s="48" t="n">
        <f aca="false">E18/$C$6</f>
        <v>1.59399276961116</v>
      </c>
    </row>
    <row r="20" customFormat="false" ht="15" hidden="false" customHeight="false" outlineLevel="0" collapsed="false">
      <c r="B20" s="37" t="s">
        <v>175</v>
      </c>
      <c r="C20" s="49" t="n">
        <f aca="false">C19/$C$7-1</f>
        <v>-0.934875986141824</v>
      </c>
      <c r="D20" s="49" t="n">
        <f aca="false">D19/$C$7-1</f>
        <v>-0.904864919847734</v>
      </c>
      <c r="E20" s="49" t="n">
        <f aca="false">E19/$C$7-1</f>
        <v>-0.861991967999034</v>
      </c>
    </row>
    <row r="22" customFormat="false" ht="42" hidden="false" customHeight="true" outlineLevel="0" collapsed="false">
      <c r="B22" s="35" t="s">
        <v>176</v>
      </c>
      <c r="C22" s="35"/>
      <c r="D22" s="35"/>
      <c r="E22" s="35"/>
    </row>
    <row r="24" customFormat="false" ht="55.5" hidden="false" customHeight="true" outlineLevel="0" collapsed="false">
      <c r="B24" s="35" t="s">
        <v>177</v>
      </c>
      <c r="C24" s="35"/>
      <c r="D24" s="35"/>
      <c r="E24" s="35"/>
    </row>
  </sheetData>
  <mergeCells count="3">
    <mergeCell ref="B2:E2"/>
    <mergeCell ref="B22:E22"/>
    <mergeCell ref="B24:E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2024-09-27T13:16:40Z</dcterms:created>
  <dc:creator>Martin Shkreli</dc:creator>
  <dc:description/>
  <dc:language>en-US</dc:language>
  <cp:lastModifiedBy>Martin Shkreli</cp:lastModifiedBy>
  <dcterms:modified xsi:type="dcterms:W3CDTF">2026-09-12T03:39:42Z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