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1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galinpepimut-S" sheetId="2" state="visible" r:id="rId2"/>
    <sheet xmlns:r="http://schemas.openxmlformats.org/officeDocument/2006/relationships" name="WT1" sheetId="3" state="visible" r:id="rId3"/>
    <sheet xmlns:r="http://schemas.openxmlformats.org/officeDocument/2006/relationships" name="Literature" sheetId="4" state="visible" r:id="rId4"/>
    <sheet xmlns:r="http://schemas.openxmlformats.org/officeDocument/2006/relationships" name="Trial" sheetId="5" state="visible" r:id="rId5"/>
    <sheet xmlns:r="http://schemas.openxmlformats.org/officeDocument/2006/relationships" name="Patients" sheetId="6" state="visible" r:id="rId6"/>
    <sheet xmlns:r="http://schemas.openxmlformats.org/officeDocument/2006/relationships" name="18mo Scenario" sheetId="7" state="visible" r:id="rId7"/>
    <sheet xmlns:r="http://schemas.openxmlformats.org/officeDocument/2006/relationships" name="24mo Scenario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0"/>
      <sz val="10"/>
      <u val="single"/>
    </font>
    <font>
      <name val="Arial"/>
      <family val="2"/>
      <b val="1"/>
      <color theme="1"/>
      <sz val="10"/>
      <u val="single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3">
    <xf numFmtId="0" fontId="0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1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0" pivotButton="0" quotePrefix="1" xfId="0"/>
    <xf numFmtId="0" fontId="2" fillId="0" borderId="0" pivotButton="0" quotePrefix="0" xfId="1"/>
    <xf numFmtId="0" fontId="1" fillId="0" borderId="0" pivotButton="0" quotePrefix="0" xfId="0"/>
    <xf numFmtId="0" fontId="3" fillId="0" borderId="0" pivotButton="0" quotePrefix="0" xfId="0"/>
    <xf numFmtId="0" fontId="2" fillId="0" borderId="1" pivotButton="0" quotePrefix="0" xfId="1"/>
    <xf numFmtId="0" fontId="1" fillId="0" borderId="0" applyAlignment="1" pivotButton="0" quotePrefix="0" xfId="0">
      <alignment wrapText="1"/>
    </xf>
    <xf numFmtId="0" fontId="3" fillId="0" borderId="0" pivotButton="0" quotePrefix="1" xfId="0"/>
    <xf numFmtId="0" fontId="3" fillId="2" borderId="0" pivotButton="0" quotePrefix="0" xfId="0"/>
    <xf numFmtId="0" fontId="0" fillId="2" borderId="0" pivotButton="0" quotePrefix="0" xfId="0"/>
    <xf numFmtId="4" fontId="0" fillId="0" borderId="0" pivotButton="0" quotePrefix="0" xfId="0"/>
    <xf numFmtId="17" fontId="0" fillId="0" borderId="0" pivotButton="0" quotePrefix="0" xfId="0"/>
    <xf numFmtId="0" fontId="0" fillId="0" borderId="0" applyAlignment="1" pivotButton="0" quotePrefix="0" xfId="0">
      <alignment horizontal="left"/>
    </xf>
    <xf numFmtId="17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left"/>
    </xf>
    <xf numFmtId="14" fontId="0" fillId="0" borderId="0" pivotButton="0" quotePrefix="0" xfId="0"/>
    <xf numFmtId="14" fontId="1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right"/>
    </xf>
    <xf numFmtId="1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Hyperlink" xfId="1" builtinId="8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tc={3F632F91-120B-4288-A788-6998CFC973C8}</author>
  </authors>
  <commentList>
    <comment ref="D53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60 discontinuations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882453</colOff>
      <row>53</row>
      <rowOff>75539</rowOff>
    </from>
    <to>
      <col>4</col>
      <colOff>73091</colOff>
      <row>67</row>
      <rowOff>755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208209" y="9622222"/>
          <a:ext cx="4413126" cy="226089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794972</colOff>
      <row>109</row>
      <rowOff>25785</rowOff>
    </from>
    <to>
      <col>2</col>
      <colOff>2544338</colOff>
      <row>119</row>
      <rowOff>82069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146664" y="18191670"/>
          <a:ext cx="2609059" cy="166820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261784</colOff>
      <row>92</row>
      <rowOff>36006</rowOff>
    </from>
    <to>
      <col>13</col>
      <colOff>372718</colOff>
      <row>115</row>
      <rowOff>122881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708270" y="15500977"/>
          <a:ext cx="6279505" cy="380253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14</col>
      <colOff>54084</colOff>
      <row>90</row>
      <rowOff>133468</rowOff>
    </from>
    <to>
      <col>26</col>
      <colOff>430695</colOff>
      <row>114</row>
      <rowOff>156751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2301301" y="15290642"/>
          <a:ext cx="7797829" cy="390506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7</col>
      <colOff>556462</colOff>
      <row>14</row>
      <rowOff>10026</rowOff>
    </from>
    <to>
      <col>11</col>
      <colOff>507711</colOff>
      <row>35</row>
      <rowOff>140829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561975" y="2255921"/>
          <a:ext cx="2397670" cy="3499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onlinelibrary.wiley.com/doi/full/10.1111/bjh.14768?sid=nlm%3Apubmed" TargetMode="External" Id="rId1"/><Relationship Type="http://schemas.openxmlformats.org/officeDocument/2006/relationships/drawing" Target="/xl/drawings/drawing1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12"/>
  <sheetViews>
    <sheetView zoomScale="145" zoomScaleNormal="145" workbookViewId="0">
      <selection activeCell="A2" sqref="A2"/>
    </sheetView>
  </sheetViews>
  <sheetFormatPr baseColWidth="8" defaultColWidth="8.81640625" defaultRowHeight="12.5"/>
  <cols>
    <col width="2.81640625" customWidth="1" min="1" max="1"/>
    <col width="18" customWidth="1" min="2" max="2"/>
    <col width="9.81640625" customWidth="1" min="3" max="3"/>
    <col width="11.453125" customWidth="1" min="4" max="4"/>
  </cols>
  <sheetData>
    <row r="2">
      <c r="B2" s="5" t="inlineStr">
        <is>
          <t>Name</t>
        </is>
      </c>
      <c r="C2" s="6" t="inlineStr">
        <is>
          <t>Indication</t>
        </is>
      </c>
      <c r="D2" s="6" t="inlineStr">
        <is>
          <t>Mechanism</t>
        </is>
      </c>
      <c r="E2" s="6" t="n"/>
      <c r="F2" s="6" t="n"/>
      <c r="G2" s="6" t="n"/>
      <c r="H2" s="6" t="n"/>
      <c r="I2" s="7" t="n"/>
      <c r="K2" t="inlineStr">
        <is>
          <t>Price</t>
        </is>
      </c>
      <c r="L2" s="21" t="n">
        <v>14.45</v>
      </c>
    </row>
    <row r="3">
      <c r="B3" s="16" t="inlineStr">
        <is>
          <t>galinpepimut-S</t>
        </is>
      </c>
      <c r="C3" s="32" t="inlineStr">
        <is>
          <t>AML</t>
        </is>
      </c>
      <c r="D3" s="32" t="inlineStr">
        <is>
          <t>WT1</t>
        </is>
      </c>
      <c r="E3" s="32" t="n"/>
      <c r="F3" s="32" t="n"/>
      <c r="G3" s="32" t="n"/>
      <c r="H3" s="32" t="n"/>
      <c r="I3" s="9" t="n"/>
      <c r="K3" t="inlineStr">
        <is>
          <t>Shares</t>
        </is>
      </c>
      <c r="L3" s="1" t="n">
        <v>70.381979</v>
      </c>
      <c r="M3" s="2" t="inlineStr">
        <is>
          <t>Q324</t>
        </is>
      </c>
    </row>
    <row r="4">
      <c r="B4" s="3" t="inlineStr">
        <is>
          <t>SLS009/GFH009</t>
        </is>
      </c>
      <c r="C4" s="32" t="n"/>
      <c r="D4" s="32" t="n"/>
      <c r="E4" s="32" t="n"/>
      <c r="F4" s="32" t="n"/>
      <c r="G4" s="32" t="n"/>
      <c r="H4" s="32" t="n"/>
      <c r="I4" s="9" t="n"/>
      <c r="K4" t="inlineStr">
        <is>
          <t>MC</t>
        </is>
      </c>
      <c r="L4" s="1">
        <f>+L2*L3</f>
        <v/>
      </c>
    </row>
    <row r="5">
      <c r="B5" s="3" t="n"/>
      <c r="C5" s="32" t="n"/>
      <c r="D5" s="32" t="n"/>
      <c r="E5" s="32" t="n"/>
      <c r="F5" s="32" t="n"/>
      <c r="G5" s="32" t="n"/>
      <c r="H5" s="32" t="n"/>
      <c r="I5" s="9" t="n"/>
      <c r="K5" t="inlineStr">
        <is>
          <t>Cash</t>
        </is>
      </c>
      <c r="L5" s="1" t="n">
        <v>21.031</v>
      </c>
      <c r="M5" s="2" t="inlineStr">
        <is>
          <t>Q324</t>
        </is>
      </c>
    </row>
    <row r="6">
      <c r="B6" s="3" t="n"/>
      <c r="C6" s="32" t="n"/>
      <c r="D6" s="32" t="n"/>
      <c r="E6" s="32" t="n"/>
      <c r="F6" s="32" t="n"/>
      <c r="G6" s="32" t="n"/>
      <c r="H6" s="32" t="n"/>
      <c r="I6" s="9" t="n"/>
      <c r="K6" t="inlineStr">
        <is>
          <t>Debt</t>
        </is>
      </c>
      <c r="L6" s="1">
        <f>4.547+5.49</f>
        <v/>
      </c>
      <c r="M6" s="2" t="inlineStr">
        <is>
          <t>Q324</t>
        </is>
      </c>
    </row>
    <row r="7">
      <c r="B7" s="4" t="n"/>
      <c r="C7" s="10" t="n"/>
      <c r="D7" s="10" t="n"/>
      <c r="E7" s="10" t="n"/>
      <c r="F7" s="10" t="n"/>
      <c r="G7" s="10" t="n"/>
      <c r="H7" s="10" t="n"/>
      <c r="I7" s="11" t="n"/>
      <c r="K7" t="inlineStr">
        <is>
          <t>EV</t>
        </is>
      </c>
      <c r="L7" s="1">
        <f>+L4-L5+L6</f>
        <v/>
      </c>
    </row>
    <row r="9">
      <c r="K9" t="inlineStr">
        <is>
          <t>PIC</t>
        </is>
      </c>
      <c r="L9" s="1" t="n">
        <v>237.188</v>
      </c>
    </row>
    <row r="10">
      <c r="K10" t="inlineStr">
        <is>
          <t>AD</t>
        </is>
      </c>
      <c r="L10" s="1" t="n">
        <v>-234.28</v>
      </c>
    </row>
    <row r="12">
      <c r="K12" t="inlineStr">
        <is>
          <t>CEO</t>
        </is>
      </c>
      <c r="L12" s="12" t="inlineStr">
        <is>
          <t>Angelos Stergiou</t>
        </is>
      </c>
    </row>
  </sheetData>
  <hyperlinks>
    <hyperlink ref="B3" location="'galinpepimut-S'!A1" display="galinpepimut-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2"/>
  <sheetViews>
    <sheetView tabSelected="1" topLeftCell="A129" zoomScale="175" zoomScaleNormal="175" workbookViewId="0">
      <selection activeCell="B163" sqref="B163"/>
    </sheetView>
  </sheetViews>
  <sheetFormatPr baseColWidth="8" defaultColWidth="8.81640625" defaultRowHeight="12.5"/>
  <cols>
    <col width="5" bestFit="1" customWidth="1" min="1" max="1"/>
    <col width="12.26953125" bestFit="1" customWidth="1" min="2" max="2"/>
    <col width="60.7265625" customWidth="1" min="3" max="3"/>
  </cols>
  <sheetData>
    <row r="1">
      <c r="A1" s="13" t="inlineStr">
        <is>
          <t>Main</t>
        </is>
      </c>
    </row>
    <row r="2">
      <c r="B2" t="inlineStr">
        <is>
          <t>Brand</t>
        </is>
      </c>
      <c r="C2" s="12" t="inlineStr">
        <is>
          <t>galinpepimut-S</t>
        </is>
      </c>
    </row>
    <row r="3">
      <c r="B3" t="inlineStr">
        <is>
          <t>Indication</t>
        </is>
      </c>
      <c r="C3" s="12" t="inlineStr">
        <is>
          <t>ML</t>
        </is>
      </c>
    </row>
    <row r="4">
      <c r="B4" t="inlineStr">
        <is>
          <t>Clinical Trials</t>
        </is>
      </c>
    </row>
    <row r="5" ht="13" customHeight="1">
      <c r="C5" s="15" t="inlineStr">
        <is>
          <t>Phase III open-label "REGAL" Galinpepimut-S vs. BAT for Maintenance n=127 AML CR2/​CRp2 - NCT04229979</t>
        </is>
      </c>
    </row>
    <row r="6">
      <c r="C6" t="inlineStr">
        <is>
          <t>60 events for interim analysis, 80 for final</t>
        </is>
      </c>
    </row>
    <row r="7" ht="13" customHeight="1">
      <c r="C7" s="14" t="inlineStr">
        <is>
          <t>enrollment complete as of March 26 2024 - 1/8/2020 enrollment began</t>
        </is>
      </c>
    </row>
    <row r="8">
      <c r="C8" t="inlineStr">
        <is>
          <t>PE: OS</t>
        </is>
      </c>
    </row>
    <row r="9">
      <c r="C9" t="inlineStr">
        <is>
          <t>March 1 2024: 66 patients dead, 123 enrolled</t>
        </is>
      </c>
    </row>
    <row r="10">
      <c r="C10" t="inlineStr">
        <is>
          <t>you needed time to make the vaccine:</t>
        </is>
      </c>
    </row>
    <row r="11">
      <c r="C11" t="inlineStr">
        <is>
          <t xml:space="preserve">  x</t>
        </is>
      </c>
    </row>
    <row r="12">
      <c r="C12" t="inlineStr">
        <is>
          <t xml:space="preserve">  relapses occur very fast: 3-5 years</t>
        </is>
      </c>
    </row>
    <row r="13">
      <c r="C13" t="inlineStr">
        <is>
          <t xml:space="preserve">  6 months of achieving remission documentation</t>
        </is>
      </c>
    </row>
    <row r="15">
      <c r="C15" t="inlineStr">
        <is>
          <t>Interim Analysis of Phase 3 REGAL Study of Galinpepimut-S in Patients with Acute Myeloid Leukemia Expected in First Quarter 2024</t>
        </is>
      </c>
    </row>
    <row r="16">
      <c r="C16" t="inlineStr">
        <is>
          <t xml:space="preserve"> Our independent data monitoring committee will meet again in Q3, and we currently expect the interim analysis for our Phase 3 REGAL study by the end of this year or early 2024.</t>
        </is>
      </c>
    </row>
    <row r="17">
      <c r="C17" t="inlineStr">
        <is>
          <t>Approximately 125 -140 patients will enroll, in a 1:1 ratio, to provide at least 90% power under an assumed hazard ratio of 0.636, based on median OS of 8.0 m (BAT) and 12.6m (GPS)</t>
        </is>
      </c>
    </row>
    <row r="18">
      <c r="C18" t="inlineStr">
        <is>
          <t>Background: Patients with relapse/refractory (r/r) AML have poor outcomes. Allogeneic stem cell transplantation (allo-SCT) can potentially cure some patients with r/r AML who achieve second CR (CR2). However, barriers to transplantation such as advanced age, poor functional status/comorbidities or lack of donor exist and not all patients are able to proceed to allo-SCT. Therefore, novel strategies to decrease relapse risk in these patients are urgently needed. A National Cancer Institute consensus study on prioritization of cancer antigens ranked the Wilms tumor 1 (WT1) protein as the top immunotherapy target in cancer. WT1 has emerged as an encouraging vaccine target in AML due to its overexpression in leukemic blasts. Maintenance therapy with Galinpepimut-S (GPS), a multivalent heteroclitic WT1 peptide vaccine, has shown promising activity in patients with AML by inducing a strong innate immune response (CD4+/CD8+) against the WT1 antigen and across a broad range of HLA types.
Methods:
This is an open-label, multicenter, randomized, phase III study of GPS vs. BAT in patients with AML in CR2/CRp2 (CR2 with incomplete platelet recovery). BAT may include observation, low dose cytarabine and hypomethylating agents +/- venetoclax. The primary endpoint of the study is overall survival (OS). Secondary endpoints include safety and tolerability of GPS and leukemia-free survival. Exploratory endpoints include WT1-specific immune response dynamics in blood and bone marrow. Approximately 125 - 140 patients will enroll, in a 1:1 ratio, to provide at least 90% power under an assumed hazard ratio of 0.52, based on median OS of 8.0 m (BAT) and 15.4m (GPS). Randomization will be stratified by duration of CR1 ( &lt; 12m vs. ≥12m), Cytogenetics (poor-risk vs. all other), CR2 vs. CRp2 and measurable residual disease (MRD) after CR2 (MRD- vs. MRD+). Inclusion criteria consists of willing subjects ≥18y with AML within 6m of achieving CR2/CRp2, ineligible for allo-SCT due to any reason, with ≥300 lymphocytes/ul and with adequate renal and hepatic function. Subjects with central nervous involvement, having received a live vaccine 30d prior to first dose of study drug, having a diagnosis of immunodeficiency, receiving ≥10mg daily of prednisone equivalent (or any other systemic immunosuppressant) for any indication 7d prior to first dose of study drug, hypersensitivity to study agent and with a history of solid organ transplant would be excluded. The clinical trial is actively enrolling, and the registry number is NCT04229979.</t>
        </is>
      </c>
    </row>
    <row r="20" ht="39" customHeight="1">
      <c r="B20" t="inlineStr">
        <is>
          <t>Abstract</t>
        </is>
      </c>
      <c r="C20" s="17" t="inlineStr">
        <is>
          <t xml:space="preserve"> Approximately 125 - 140 patients will enroll, in a 1:1 ratio, to provide at least 90% power under an assumed hazard ratio of 0.52, based on median OS of 8.0 m (BAT) and 15.4m (GPS).</t>
        </is>
      </c>
    </row>
    <row r="21" ht="39" customHeight="1">
      <c r="B21" t="inlineStr">
        <is>
          <t>ASCO</t>
        </is>
      </c>
      <c r="C21" s="17" t="inlineStr">
        <is>
          <t xml:space="preserve">Approximately 125 -140 patients will enroll, in a 1:1 ratio, to provide at least 90% power under an assumed hazard ratio of 0.636, based on median OS of 8.0 m (BAT) and 12.6m (GPS). </t>
        </is>
      </c>
    </row>
    <row r="22">
      <c r="C22" t="inlineStr">
        <is>
          <t>Omer Hassan Jamy (1. University of Alabama at Birmingham, Birmingham, AL)</t>
        </is>
      </c>
    </row>
    <row r="23">
      <c r="C23" t="inlineStr">
        <is>
          <t>Sharif S. Khan (Bon Secours St Francis Health System, Greenville, SC)</t>
        </is>
      </c>
    </row>
    <row r="24" ht="13" customHeight="1">
      <c r="C24" s="14" t="inlineStr">
        <is>
          <t>Panagiotis Tsirigotis 3 (University General Hospital Attikon, Chaidari, Greece)</t>
        </is>
      </c>
    </row>
    <row r="25">
      <c r="C25" t="inlineStr">
        <is>
          <t>Benjamin Kent Tomlinson 4, ; 4. University Hospitals Seidman Cancer Center, Cleveland, OH</t>
        </is>
      </c>
    </row>
    <row r="26">
      <c r="C26" t="inlineStr">
        <is>
          <t>Mathilde Hunault-Berger 5 (5. CHU Angers, Angers, France)</t>
        </is>
      </c>
    </row>
    <row r="27">
      <c r="C27" t="inlineStr">
        <is>
          <t>Uwe Platzbecker 6 (6. University HospitalLeipzig, Leipzig, Germany)</t>
        </is>
      </c>
    </row>
    <row r="28" ht="13" customHeight="1">
      <c r="C28" s="14" t="inlineStr">
        <is>
          <t>Ioanna Sakellari 7 (7. General Hospital of Thessaloniki “G. Papanikolaou, Pilea Chortiatis, Greece)</t>
        </is>
      </c>
    </row>
    <row r="29">
      <c r="C29" t="inlineStr">
        <is>
          <t>Ana Vidovic8 (8. University Clinical Center of Serbia, Belgrade, Serbia)</t>
        </is>
      </c>
    </row>
    <row r="30">
      <c r="C30" t="inlineStr">
        <is>
          <t>Pau Montesinos 9 (9. Hospital Universitario y PolitecnicoLa Fe, Valencia, Spain;)</t>
        </is>
      </c>
    </row>
    <row r="31">
      <c r="C31" t="inlineStr">
        <is>
          <t>Teresa Bernal del Castillo 10 (10. Hospital Universitario Central de Asturias, Asturias, Spain)</t>
        </is>
      </c>
    </row>
    <row r="32">
      <c r="C32" t="inlineStr">
        <is>
          <t>Daniel Egan 11 (11. University of Washington MedicalCenter, Seattle, WA)</t>
        </is>
      </c>
    </row>
    <row r="33">
      <c r="C33" t="inlineStr">
        <is>
          <t>Hana Safah 12 (12. Tulane Cancer Center, New Orleans, LA)</t>
        </is>
      </c>
    </row>
    <row r="34">
      <c r="C34" t="inlineStr">
        <is>
          <t>Gary J. Schiller13 (13. Department of Microbiology, Immunology and Molecular Genetics, David Geffen School of Medicine at UCLA, Los Angeles, CA)</t>
        </is>
      </c>
    </row>
    <row r="35">
      <c r="C35" t="inlineStr">
        <is>
          <t>Mathias Haenel14 (14. Klinikum Chemnitz gGmbH, Chemnitz, Germany)</t>
        </is>
      </c>
    </row>
    <row r="36">
      <c r="C36" t="inlineStr">
        <is>
          <t>Agata Obara 15 (15. Swietokrzyskie Centrum Onkologii, Kielce, Poland)</t>
        </is>
      </c>
    </row>
    <row r="37">
      <c r="C37" t="inlineStr">
        <is>
          <t>Tsung-Chih Chen 16 (16. Taichung Veterans General Hospital, Taichung City, Taiwan)</t>
        </is>
      </c>
    </row>
    <row r="38">
      <c r="C38" t="inlineStr">
        <is>
          <t>Marcello Rotta 17 (17. Colorado Blood Cancer Institute, Denver,CO)</t>
        </is>
      </c>
    </row>
    <row r="39" ht="13" customHeight="1">
      <c r="C39" s="14" t="inlineStr">
        <is>
          <t>Stavroula Giannouli 18 (18. Hippokration General Hospital, Athina, Greece)</t>
        </is>
      </c>
    </row>
    <row r="40">
      <c r="C40" t="inlineStr">
        <is>
          <t>Aleksandar Savic 19 (19. Clinical Centre of Vojvodina, Novi Sad, Serbia)</t>
        </is>
      </c>
    </row>
    <row r="42">
      <c r="C42" t="inlineStr">
        <is>
          <t>Phase 3 REGAL Study of Galinpepimut-S in Patients with Acute Myeloid Leukemia on Track for Interim Analysis by Late 2023/Early 2024</t>
        </is>
      </c>
    </row>
    <row r="43">
      <c r="C43" t="inlineStr">
        <is>
          <t xml:space="preserve"> SELLAS expects an interim analysis for safety and futility in the fourth quarter of 2021.</t>
        </is>
      </c>
    </row>
    <row r="44">
      <c r="C44" t="inlineStr">
        <is>
          <t>Phase 3 REGAL study in acute myeloid leukemia (AML): Enrollment continued in the global Phase 3 REGAL registrational clinical trial in patients with AML who have achieved complete remission following second-line salvage therapy (CR2 patients). SELLAS announced in November that the REGAL clinical trial protocol and statistical analysis plan were revised to adjust for higher-than-expected overall survival observed in blinded pooled patient data</t>
        </is>
      </c>
    </row>
    <row r="46" ht="13" customHeight="1">
      <c r="C46" s="15" t="inlineStr">
        <is>
          <t>SAP modified 11/14/22</t>
        </is>
      </c>
    </row>
    <row r="47">
      <c r="C47" t="inlineStr">
        <is>
          <t>https://ir.sellaslifesciences.com/news/News-Details/2014/SELLAS-Life-Sciences-Group-Signs-Exclusive-License-Agreement-for-Global-Rights-on-Development-and-Commercialization-of-WT1-Cancer-Vaccine-with-Memorial-Sloan-Kettering-Cancer-Center/default.aspx</t>
        </is>
      </c>
    </row>
    <row r="49" ht="13" customHeight="1">
      <c r="C49" s="15" t="inlineStr">
        <is>
          <t>https://www.tesble.com/10.1038/sj.leu.2403186</t>
        </is>
      </c>
    </row>
    <row r="50">
      <c r="C50" t="inlineStr">
        <is>
          <t>monotherapy CR</t>
        </is>
      </c>
    </row>
    <row r="53" ht="13" customHeight="1">
      <c r="C53" s="15" t="inlineStr">
        <is>
          <t>Phase I Osaka protocol</t>
        </is>
      </c>
    </row>
    <row r="54">
      <c r="C54" t="inlineStr">
        <is>
          <t>mixed results</t>
        </is>
      </c>
    </row>
    <row r="69" ht="13" customHeight="1">
      <c r="C69" s="15" t="inlineStr">
        <is>
          <t>German group - low efficacy</t>
        </is>
      </c>
    </row>
    <row r="73" ht="13" customHeight="1">
      <c r="C73" s="15" t="inlineStr">
        <is>
          <t>Phase I FIH</t>
        </is>
      </c>
    </row>
    <row r="74">
      <c r="C74" t="inlineStr">
        <is>
          <t>https://watermark.silverchair.com/zh802810000171.pdf</t>
        </is>
      </c>
    </row>
    <row r="77" ht="13" customHeight="1">
      <c r="C77" s="15" t="inlineStr">
        <is>
          <t>n=10 AML good results</t>
        </is>
      </c>
    </row>
    <row r="78">
      <c r="C78" t="inlineStr">
        <is>
          <t>https://pubmed.ncbi.nlm.nih.gov/20631300/</t>
        </is>
      </c>
    </row>
    <row r="81" ht="13" customHeight="1">
      <c r="C81" s="15" t="inlineStr">
        <is>
          <t>British Group</t>
        </is>
      </c>
    </row>
    <row r="82">
      <c r="C82" t="inlineStr">
        <is>
          <t>https://www.ncbi.nlm.nih.gov/pmc/articles/PMC4253125/pdf/bjh0164-0366.pdf</t>
        </is>
      </c>
    </row>
    <row r="86">
      <c r="C86" t="inlineStr">
        <is>
          <t>Phase I random underwhelming study</t>
        </is>
      </c>
    </row>
    <row r="87">
      <c r="C87" t="inlineStr">
        <is>
          <t>https://pubmed.ncbi.nlm.nih.gov/25802083/</t>
        </is>
      </c>
    </row>
    <row r="90" ht="13" customHeight="1">
      <c r="C90" s="19" t="inlineStr">
        <is>
          <t>OCV-501 n=9 AML - OCV-501, a tumor vaccine, is an HLA class II-binding polypeptide consisting of 16 amino acid residues derived from WT1 protein</t>
        </is>
      </c>
    </row>
    <row r="91" ht="13" customHeight="1">
      <c r="C91" s="19" t="inlineStr">
        <is>
          <t>Phase II n=100 https://www.ncbi.nlm.nih.gov/pmc/articles/PMC10123586/pdf/262_2023_Article_3432.pdf</t>
        </is>
      </c>
    </row>
    <row r="92">
      <c r="C92" s="20" t="inlineStr">
        <is>
          <t xml:space="preserve">36% DFS vs. 34% for placebo p=0.74 Median DFS was 12.1 and 8.4 months in the OCV-501 and placebo groups, respectively, without a significant difference. </t>
        </is>
      </c>
    </row>
    <row r="93">
      <c r="C93" s="20" t="inlineStr">
        <is>
          <t>CR1</t>
        </is>
      </c>
    </row>
    <row r="95" ht="13" customHeight="1">
      <c r="C95" s="15" t="inlineStr">
        <is>
          <t>Phase II german DC vaccine n=30 AML</t>
        </is>
      </c>
    </row>
    <row r="96">
      <c r="C96" t="inlineStr">
        <is>
          <t>https://www.ncbi.nlm.nih.gov/pmc/articles/PMC5649080/</t>
        </is>
      </c>
    </row>
    <row r="97" ht="13" customHeight="1">
      <c r="C97" s="14" t="inlineStr">
        <is>
          <t>CR1 either 56.1mo OS or 41.8mo OS</t>
        </is>
      </c>
    </row>
    <row r="100" ht="13" customHeight="1">
      <c r="C100" s="15" t="inlineStr">
        <is>
          <t>WT4869 - Sumitomo WT vaccine JapicCTI-101374. MDS</t>
        </is>
      </c>
    </row>
    <row r="102" ht="13" customHeight="1">
      <c r="C102" s="15" t="inlineStr">
        <is>
          <t>Phase II MPM https://pubmed.ncbi.nlm.nih.gov/28972039/ - NCT01266083</t>
        </is>
      </c>
    </row>
    <row r="103">
      <c r="C103" t="inlineStr">
        <is>
          <t>7.4mo PFS vs. 10.1mo for drug</t>
        </is>
      </c>
    </row>
    <row r="104" ht="13" customHeight="1">
      <c r="C104" s="14" t="inlineStr">
        <is>
          <t>CR1 68 month OS</t>
        </is>
      </c>
    </row>
    <row r="105">
      <c r="C105" t="inlineStr">
        <is>
          <t>https://watermark.silverchair.com/advances014175.pdf</t>
        </is>
      </c>
    </row>
    <row r="108" ht="13" customHeight="1">
      <c r="C108" s="15" t="inlineStr">
        <is>
          <t>Phase II London</t>
        </is>
      </c>
    </row>
    <row r="109">
      <c r="C109" s="13" t="inlineStr">
        <is>
          <t>https://onlinelibrary.wiley.com/doi/full/10.1111/bjh.14768?sid=nlm%3Apubmed</t>
        </is>
      </c>
    </row>
    <row r="121" ht="13" customHeight="1">
      <c r="C121" s="15" t="inlineStr">
        <is>
          <t>WT1 TCR gene therapy - https://pubmed.ncbi.nlm.nih.gov/31235963/</t>
        </is>
      </c>
    </row>
    <row r="122">
      <c r="C122" t="inlineStr">
        <is>
          <t>RFS 100% at median 44 months</t>
        </is>
      </c>
    </row>
    <row r="124" ht="13" customHeight="1">
      <c r="C124" s="18" t="inlineStr">
        <is>
          <t>DSP-7888 - ombipepmut-S</t>
        </is>
      </c>
    </row>
    <row r="125">
      <c r="C125" t="inlineStr">
        <is>
          <t>Phase I NCT02498665</t>
        </is>
      </c>
    </row>
    <row r="126">
      <c r="C126" t="inlineStr">
        <is>
          <t>Phase I/II MDS - https://pubmed.ncbi.nlm.nih.gov/34932235/</t>
        </is>
      </c>
    </row>
    <row r="128" ht="13" customHeight="1">
      <c r="C128" s="15" t="inlineStr">
        <is>
          <t>WT2725 - Phase I https://pubmed.ncbi.nlm.nih.gov/34785698/ - Sumitomo</t>
        </is>
      </c>
    </row>
    <row r="131" ht="13" customHeight="1">
      <c r="C131" s="15" t="inlineStr">
        <is>
          <t>Phase I  - https://www.ncbi.nlm.nih.gov/pmc/articles/PMC4617516/pdf/nihms725317.pdf</t>
        </is>
      </c>
    </row>
    <row r="132">
      <c r="C132" t="inlineStr">
        <is>
          <t>n=14, mOS 608days - 20 months</t>
        </is>
      </c>
    </row>
    <row r="133">
      <c r="C133" t="inlineStr">
        <is>
          <t xml:space="preserve">  CR2 subset mOS 495 days - 16.5 months</t>
        </is>
      </c>
    </row>
    <row r="134">
      <c r="C134" t="inlineStr">
        <is>
          <t>Very low baseline blasts, possibly positive prognosis bias, not sure if this is clinical material</t>
        </is>
      </c>
    </row>
    <row r="135">
      <c r="C135" t="inlineStr">
        <is>
          <t xml:space="preserve">  Patients screened for WT1 immune response?</t>
        </is>
      </c>
    </row>
    <row r="142">
      <c r="B142" t="inlineStr">
        <is>
          <t>NPM1 patient imbalance</t>
        </is>
      </c>
    </row>
    <row r="143">
      <c r="B143" t="inlineStr">
        <is>
          <t>too much of assumption</t>
        </is>
      </c>
    </row>
    <row r="144">
      <c r="B144" t="inlineStr">
        <is>
          <t>treatment of AML continues to get better</t>
        </is>
      </c>
    </row>
    <row r="145">
      <c r="B145" t="inlineStr">
        <is>
          <t xml:space="preserve">  the days of 7+3 and that’s it are over</t>
        </is>
      </c>
    </row>
    <row r="147">
      <c r="B147" t="inlineStr">
        <is>
          <t>18-24 months its possible: intermediate risk AML -- definitely possible</t>
        </is>
      </c>
    </row>
    <row r="148">
      <c r="B148" t="inlineStr">
        <is>
          <t>you're looked at more closely</t>
        </is>
      </c>
    </row>
    <row r="149">
      <c r="B149" t="inlineStr">
        <is>
          <t>MRD 10-15 years ago WT1 is expressed in all leukemias</t>
        </is>
      </c>
    </row>
    <row r="150">
      <c r="B150" t="inlineStr">
        <is>
          <t xml:space="preserve">  how can they evade it</t>
        </is>
      </c>
    </row>
    <row r="151">
      <c r="B151" t="inlineStr">
        <is>
          <t>menin, FLT3, IDH1</t>
        </is>
      </c>
    </row>
    <row r="153">
      <c r="B153" t="inlineStr">
        <is>
          <t>imatinib - CML</t>
        </is>
      </c>
    </row>
    <row r="154">
      <c r="B154" t="inlineStr">
        <is>
          <t>arsenic trioxide - APL</t>
        </is>
      </c>
    </row>
    <row r="156">
      <c r="B156" t="inlineStr">
        <is>
          <t>menin inhibitors - single gent none are purative</t>
        </is>
      </c>
    </row>
    <row r="157">
      <c r="B157" t="inlineStr">
        <is>
          <t xml:space="preserve">IMIDs only used in 5q- </t>
        </is>
      </c>
    </row>
    <row r="158">
      <c r="B158" t="inlineStr">
        <is>
          <t xml:space="preserve">  unfortunately only thing we have in MDS</t>
        </is>
      </c>
    </row>
    <row r="159">
      <c r="B159" t="inlineStr">
        <is>
          <t xml:space="preserve">  luspatercept</t>
        </is>
      </c>
    </row>
    <row r="160">
      <c r="B160" t="inlineStr">
        <is>
          <t xml:space="preserve">  20-30%</t>
        </is>
      </c>
    </row>
    <row r="162">
      <c r="B162" t="inlineStr">
        <is>
          <t>CLL now a joy to treat</t>
        </is>
      </c>
    </row>
  </sheetData>
  <hyperlinks>
    <hyperlink ref="A1" location="Main!A1" display="Main"/>
    <hyperlink xmlns:r="http://schemas.openxmlformats.org/officeDocument/2006/relationships" ref="C109" r:id="rId1"/>
  </hyperlinks>
  <pageMargins left="0.7" right="0.7" top="0.75" bottom="0.75" header="0.3" footer="0.3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zoomScale="250" zoomScaleNormal="250" workbookViewId="0">
      <selection activeCell="A1" sqref="A1"/>
    </sheetView>
  </sheetViews>
  <sheetFormatPr baseColWidth="8" defaultRowHeight="12.5"/>
  <cols>
    <col width="4.6328125" bestFit="1" customWidth="1" min="1" max="1"/>
  </cols>
  <sheetData>
    <row r="1">
      <c r="A1" t="inlineStr">
        <is>
          <t>Main</t>
        </is>
      </c>
    </row>
    <row r="2">
      <c r="B2" t="inlineStr">
        <is>
          <t>WT1 been floating around</t>
        </is>
      </c>
    </row>
    <row r="3">
      <c r="B3" t="inlineStr">
        <is>
          <t xml:space="preserve">  not as interesting, not selective for AML</t>
        </is>
      </c>
    </row>
    <row r="4">
      <c r="B4" t="inlineStr">
        <is>
          <t xml:space="preserve">  FLT3 does something, WT1 doesn't</t>
        </is>
      </c>
    </row>
    <row r="5">
      <c r="B5" t="inlineStr">
        <is>
          <t xml:space="preserve">  NPM1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="190" zoomScaleNormal="190" workbookViewId="0">
      <selection activeCell="N9" sqref="N9"/>
    </sheetView>
  </sheetViews>
  <sheetFormatPr baseColWidth="8" defaultColWidth="8.81640625" defaultRowHeight="12.5"/>
  <cols>
    <col width="5" bestFit="1" customWidth="1" min="1" max="1"/>
  </cols>
  <sheetData>
    <row r="1">
      <c r="A1" t="inlineStr">
        <is>
          <t>Main</t>
        </is>
      </c>
    </row>
    <row r="2" ht="13" customHeight="1">
      <c r="B2" s="15" t="inlineStr">
        <is>
          <t>WT-1 is Required for Early Kidney Development. Kreidberg et al. Cell 1993.</t>
        </is>
      </c>
    </row>
    <row r="3">
      <c r="B3" t="inlineStr">
        <is>
          <t>Tumor suppressor gene was known by 1993.</t>
        </is>
      </c>
    </row>
    <row r="4">
      <c r="B4" t="inlineStr">
        <is>
          <t>Expressed in mesenchymal cells of the metanephros</t>
        </is>
      </c>
    </row>
    <row r="5">
      <c r="B5" t="inlineStr">
        <is>
          <t>Germline WT1 mutations are associated with Wilms' tumor, and urogenital malformations.</t>
        </is>
      </c>
    </row>
    <row r="6">
      <c r="C6" t="inlineStr">
        <is>
          <t>Heterozygous people have cryptorchidism, hypospadias (misplaced urethra)</t>
        </is>
      </c>
    </row>
    <row r="7">
      <c r="B7" t="inlineStr">
        <is>
          <t>ZFD, four alternative splicing transcripts</t>
        </is>
      </c>
    </row>
    <row r="10" ht="13" customHeight="1">
      <c r="B10" s="15" t="inlineStr">
        <is>
          <t>Alternative splicing and genomic structure of the Wilms tumorgene WT1. Haber et al. PNAS 1991</t>
        </is>
      </c>
    </row>
    <row r="11">
      <c r="B11" t="inlineStr">
        <is>
          <t>11p13 locus, highly expressed in developing kidney. Suggested protein structure is 45-49kDa TF.</t>
        </is>
      </c>
    </row>
    <row r="13" ht="13" customHeight="1">
      <c r="B13" s="15" t="inlineStr">
        <is>
          <t>WT1 as a new Prognostic Factor and a New Marker for the Detection of MRD in Acute Leukemia. Inoue et al. Blood 1994.</t>
        </is>
      </c>
    </row>
    <row r="14">
      <c r="B14" t="inlineStr">
        <is>
          <t>Wilms Tumor requires inactivation of both alleles of WT1</t>
        </is>
      </c>
    </row>
    <row r="15">
      <c r="B15" t="inlineStr">
        <is>
          <t>Transcription represser when bound to EGR-1 site, represses IGF2 gene</t>
        </is>
      </c>
    </row>
    <row r="16">
      <c r="B16" t="inlineStr">
        <is>
          <t>Osaka group n=45 AML showing &lt;0.6 copies fared better than &gt;0.6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3"/>
  <sheetViews>
    <sheetView zoomScale="145" zoomScaleNormal="145" workbookViewId="0">
      <pane xSplit="2" ySplit="2" topLeftCell="C57" activePane="bottomRight" state="frozen"/>
      <selection pane="topRight" activeCell="C1" sqref="C1"/>
      <selection pane="bottomLeft" activeCell="A3" sqref="A3"/>
      <selection pane="bottomRight" activeCell="C93" sqref="C93"/>
    </sheetView>
  </sheetViews>
  <sheetFormatPr baseColWidth="8" defaultRowHeight="12.5"/>
  <cols>
    <col width="4.6328125" bestFit="1" customWidth="1" min="1" max="1"/>
    <col width="8.7265625" customWidth="1" style="23" min="2" max="9"/>
  </cols>
  <sheetData>
    <row r="1">
      <c r="A1" t="inlineStr">
        <is>
          <t>Main</t>
        </is>
      </c>
      <c r="C1" s="32" t="inlineStr">
        <is>
          <t>Total</t>
        </is>
      </c>
      <c r="E1" s="32" t="inlineStr">
        <is>
          <t>Enrolled</t>
        </is>
      </c>
      <c r="G1" s="32" t="inlineStr">
        <is>
          <t>Death</t>
        </is>
      </c>
    </row>
    <row r="2">
      <c r="B2" s="23" t="inlineStr">
        <is>
          <t>Month</t>
        </is>
      </c>
      <c r="C2" s="23" t="inlineStr">
        <is>
          <t>Enrolled</t>
        </is>
      </c>
      <c r="D2" s="23" t="inlineStr">
        <is>
          <t>Deaths</t>
        </is>
      </c>
      <c r="E2" s="23" t="inlineStr">
        <is>
          <t>BAT</t>
        </is>
      </c>
      <c r="F2" s="23" t="inlineStr">
        <is>
          <t>Galin</t>
        </is>
      </c>
      <c r="G2" s="23" t="inlineStr">
        <is>
          <t>BAT</t>
        </is>
      </c>
      <c r="H2" s="23" t="inlineStr">
        <is>
          <t>Galin</t>
        </is>
      </c>
      <c r="J2" t="inlineStr">
        <is>
          <t>Notes</t>
        </is>
      </c>
    </row>
    <row r="3">
      <c r="B3" s="24" t="n">
        <v>43831</v>
      </c>
      <c r="C3" s="23" t="n">
        <v>1</v>
      </c>
      <c r="J3" t="inlineStr">
        <is>
          <t>TRIAL BEGINS</t>
        </is>
      </c>
    </row>
    <row r="4">
      <c r="B4" s="24">
        <f>B3+31</f>
        <v/>
      </c>
    </row>
    <row r="5">
      <c r="B5" s="24">
        <f>B4+31</f>
        <v/>
      </c>
    </row>
    <row r="6">
      <c r="B6" s="24">
        <f>B5+31</f>
        <v/>
      </c>
    </row>
    <row r="7">
      <c r="B7" s="24">
        <f>B6+31</f>
        <v/>
      </c>
    </row>
    <row r="8">
      <c r="B8" s="24">
        <f>B7+31</f>
        <v/>
      </c>
    </row>
    <row r="9">
      <c r="B9" s="24">
        <f>B8+31</f>
        <v/>
      </c>
    </row>
    <row r="10">
      <c r="B10" s="24">
        <f>B9+31</f>
        <v/>
      </c>
    </row>
    <row r="11">
      <c r="B11" s="24">
        <f>B10+31</f>
        <v/>
      </c>
    </row>
    <row r="12">
      <c r="B12" s="24">
        <f>B11+31</f>
        <v/>
      </c>
    </row>
    <row r="13">
      <c r="B13" s="24">
        <f>B12+31</f>
        <v/>
      </c>
    </row>
    <row r="14">
      <c r="B14" s="24">
        <f>B13+31</f>
        <v/>
      </c>
    </row>
    <row r="15">
      <c r="B15" s="24">
        <f>B14+31</f>
        <v/>
      </c>
      <c r="C15" s="23" t="n">
        <v>1</v>
      </c>
      <c r="E15" s="25">
        <f>+C15</f>
        <v/>
      </c>
      <c r="F15" s="25" t="n">
        <v>0</v>
      </c>
    </row>
    <row r="16">
      <c r="B16" s="24">
        <f>B15+31</f>
        <v/>
      </c>
      <c r="C16" s="23" t="n">
        <v>1</v>
      </c>
      <c r="E16" s="25">
        <f>+C16/2</f>
        <v/>
      </c>
      <c r="F16" s="25">
        <f>+C16/2</f>
        <v/>
      </c>
    </row>
    <row r="17">
      <c r="B17" s="24">
        <f>B16+31</f>
        <v/>
      </c>
      <c r="C17" s="23" t="n">
        <v>2</v>
      </c>
      <c r="E17" s="25">
        <f>+C17/2</f>
        <v/>
      </c>
      <c r="F17" s="25">
        <f>+C17/2</f>
        <v/>
      </c>
    </row>
    <row r="18">
      <c r="B18" s="24">
        <f>B17+31</f>
        <v/>
      </c>
      <c r="C18" s="23" t="n">
        <v>2</v>
      </c>
      <c r="E18" s="25">
        <f>+C18/2</f>
        <v/>
      </c>
      <c r="F18" s="25">
        <f>+C18/2</f>
        <v/>
      </c>
    </row>
    <row r="19">
      <c r="B19" s="24">
        <f>B18+31</f>
        <v/>
      </c>
      <c r="C19" s="23" t="n">
        <v>3</v>
      </c>
      <c r="E19" s="25">
        <f>+C19/2</f>
        <v/>
      </c>
      <c r="F19" s="25">
        <f>+C19/2</f>
        <v/>
      </c>
    </row>
    <row r="20">
      <c r="B20" s="24">
        <f>B19+31</f>
        <v/>
      </c>
      <c r="C20" s="23" t="n">
        <v>3</v>
      </c>
      <c r="E20" s="25">
        <f>+C20/2</f>
        <v/>
      </c>
      <c r="F20" s="25">
        <f>+C20/2</f>
        <v/>
      </c>
    </row>
    <row r="21">
      <c r="B21" s="24">
        <f>B20+31</f>
        <v/>
      </c>
      <c r="C21" s="23" t="n">
        <v>4</v>
      </c>
      <c r="E21" s="25">
        <f>+C21/2</f>
        <v/>
      </c>
      <c r="F21" s="25">
        <f>+C21/2</f>
        <v/>
      </c>
    </row>
    <row r="22">
      <c r="B22" s="24">
        <f>B21+31</f>
        <v/>
      </c>
      <c r="C22" s="23" t="n">
        <v>5</v>
      </c>
      <c r="E22" s="25">
        <f>+C22/2</f>
        <v/>
      </c>
      <c r="F22" s="25">
        <f>+C22/2</f>
        <v/>
      </c>
    </row>
    <row r="23">
      <c r="B23" s="24">
        <f>B22+31</f>
        <v/>
      </c>
      <c r="C23" s="23" t="n">
        <v>6</v>
      </c>
      <c r="E23" s="25">
        <f>+C23/2</f>
        <v/>
      </c>
      <c r="F23" s="25">
        <f>+C23/2</f>
        <v/>
      </c>
    </row>
    <row r="24">
      <c r="B24" s="24">
        <f>B23+31</f>
        <v/>
      </c>
      <c r="C24" s="23" t="n">
        <v>7</v>
      </c>
      <c r="E24" s="25">
        <f>+C24/2</f>
        <v/>
      </c>
      <c r="F24" s="25">
        <f>+C24/2</f>
        <v/>
      </c>
    </row>
    <row r="25">
      <c r="B25" s="24">
        <f>B24+31</f>
        <v/>
      </c>
      <c r="C25" s="23" t="n">
        <v>8</v>
      </c>
      <c r="E25" s="25">
        <f>+C25/2</f>
        <v/>
      </c>
      <c r="F25" s="25">
        <f>+C25/2</f>
        <v/>
      </c>
    </row>
    <row r="26">
      <c r="B26" s="24">
        <f>B25+31</f>
        <v/>
      </c>
      <c r="C26" s="23" t="n">
        <v>10</v>
      </c>
      <c r="E26" s="25">
        <f>+C26/2</f>
        <v/>
      </c>
      <c r="F26" s="25">
        <f>+C26/2</f>
        <v/>
      </c>
    </row>
    <row r="27">
      <c r="B27" s="24">
        <f>B26+31</f>
        <v/>
      </c>
      <c r="C27" s="23" t="n">
        <v>12</v>
      </c>
      <c r="E27" s="25">
        <f>+C27/2</f>
        <v/>
      </c>
      <c r="F27" s="25">
        <f>+C27/2</f>
        <v/>
      </c>
    </row>
    <row r="28">
      <c r="B28" s="24">
        <f>B27+31</f>
        <v/>
      </c>
      <c r="C28" s="23" t="n">
        <v>14</v>
      </c>
      <c r="E28" s="25">
        <f>+C28/2</f>
        <v/>
      </c>
      <c r="F28" s="25">
        <f>+C28/2</f>
        <v/>
      </c>
    </row>
    <row r="29">
      <c r="B29" s="24">
        <f>B28+31</f>
        <v/>
      </c>
      <c r="C29" s="23" t="n">
        <v>16</v>
      </c>
      <c r="E29" s="25">
        <f>+C29/2</f>
        <v/>
      </c>
      <c r="F29" s="25">
        <f>+C29/2</f>
        <v/>
      </c>
    </row>
    <row r="30">
      <c r="B30" s="24">
        <f>B29+31</f>
        <v/>
      </c>
      <c r="C30" s="23" t="n">
        <v>18</v>
      </c>
      <c r="E30" s="25">
        <f>+C30/2</f>
        <v/>
      </c>
      <c r="F30" s="25">
        <f>+C30/2</f>
        <v/>
      </c>
    </row>
    <row r="31">
      <c r="B31" s="24">
        <f>B30+31</f>
        <v/>
      </c>
      <c r="C31" s="23" t="n">
        <v>21</v>
      </c>
      <c r="E31" s="25">
        <f>+C31/2</f>
        <v/>
      </c>
      <c r="F31" s="25">
        <f>+C31/2</f>
        <v/>
      </c>
    </row>
    <row r="32">
      <c r="B32" s="24">
        <f>B31+31</f>
        <v/>
      </c>
      <c r="C32" s="23" t="n">
        <v>24</v>
      </c>
      <c r="E32" s="25">
        <f>+C32/2</f>
        <v/>
      </c>
      <c r="F32" s="25">
        <f>+C32/2</f>
        <v/>
      </c>
    </row>
    <row r="33">
      <c r="B33" s="24">
        <f>B32+31</f>
        <v/>
      </c>
      <c r="C33" s="23" t="n">
        <v>27</v>
      </c>
      <c r="E33" s="25">
        <f>+C33/2</f>
        <v/>
      </c>
      <c r="F33" s="25">
        <f>+C33/2</f>
        <v/>
      </c>
    </row>
    <row r="34">
      <c r="B34" s="24">
        <f>B33+31</f>
        <v/>
      </c>
      <c r="C34" s="23" t="n">
        <v>30</v>
      </c>
      <c r="E34" s="25">
        <f>+C34/2</f>
        <v/>
      </c>
      <c r="F34" s="25">
        <f>+C34/2</f>
        <v/>
      </c>
    </row>
    <row r="35">
      <c r="B35" s="24">
        <f>B34+31</f>
        <v/>
      </c>
      <c r="C35" s="23">
        <f>+C34+4</f>
        <v/>
      </c>
      <c r="E35" s="25">
        <f>+C35/2</f>
        <v/>
      </c>
      <c r="F35" s="25">
        <f>+C35/2</f>
        <v/>
      </c>
    </row>
    <row r="36">
      <c r="B36" s="24">
        <f>B35+31</f>
        <v/>
      </c>
      <c r="C36" s="23">
        <f>+C35+4</f>
        <v/>
      </c>
      <c r="E36" s="25">
        <f>+C36/2</f>
        <v/>
      </c>
      <c r="F36" s="25">
        <f>+C36/2</f>
        <v/>
      </c>
    </row>
    <row r="37">
      <c r="B37" s="24">
        <f>B36+31</f>
        <v/>
      </c>
      <c r="C37" s="23">
        <f>+C36+5</f>
        <v/>
      </c>
      <c r="E37" s="25">
        <f>+C37/2</f>
        <v/>
      </c>
      <c r="F37" s="25">
        <f>+C37/2</f>
        <v/>
      </c>
    </row>
    <row r="38">
      <c r="B38" s="24">
        <f>B37+31</f>
        <v/>
      </c>
      <c r="C38" s="23">
        <f>+C37+5</f>
        <v/>
      </c>
      <c r="E38" s="25">
        <f>+C38/2</f>
        <v/>
      </c>
      <c r="F38" s="25">
        <f>+C38/2</f>
        <v/>
      </c>
    </row>
    <row r="39">
      <c r="B39" s="24">
        <f>B38+31</f>
        <v/>
      </c>
      <c r="C39" s="23">
        <f>+C38+5</f>
        <v/>
      </c>
      <c r="E39" s="25">
        <f>+C39/2</f>
        <v/>
      </c>
      <c r="F39" s="25">
        <f>+C39/2</f>
        <v/>
      </c>
    </row>
    <row r="40">
      <c r="B40" s="24">
        <f>B39+31</f>
        <v/>
      </c>
      <c r="C40" s="23">
        <f>+C39+5</f>
        <v/>
      </c>
      <c r="E40" s="25">
        <f>+C40/2</f>
        <v/>
      </c>
      <c r="F40" s="25">
        <f>+C40/2</f>
        <v/>
      </c>
    </row>
    <row r="41">
      <c r="B41" s="24">
        <f>B40+31</f>
        <v/>
      </c>
      <c r="C41" s="23">
        <f>+C40+5</f>
        <v/>
      </c>
      <c r="E41" s="25">
        <f>+C41/2</f>
        <v/>
      </c>
      <c r="F41" s="25">
        <f>+C41/2</f>
        <v/>
      </c>
    </row>
    <row r="42">
      <c r="B42" s="24">
        <f>B41+31</f>
        <v/>
      </c>
      <c r="C42" s="23">
        <f>+C41+5</f>
        <v/>
      </c>
      <c r="E42" s="25">
        <f>+C42/2</f>
        <v/>
      </c>
      <c r="F42" s="25">
        <f>+C42/2</f>
        <v/>
      </c>
    </row>
    <row r="43">
      <c r="B43" s="24">
        <f>B42+31</f>
        <v/>
      </c>
      <c r="C43" s="23">
        <f>+C42+5</f>
        <v/>
      </c>
      <c r="E43" s="25">
        <f>+C43/2</f>
        <v/>
      </c>
      <c r="F43" s="25">
        <f>+C43/2</f>
        <v/>
      </c>
    </row>
    <row r="44">
      <c r="B44" s="24">
        <f>B43+31</f>
        <v/>
      </c>
      <c r="C44" s="23">
        <f>+C43+5</f>
        <v/>
      </c>
      <c r="E44" s="25">
        <f>+C44/2</f>
        <v/>
      </c>
      <c r="F44" s="25">
        <f>+C44/2</f>
        <v/>
      </c>
    </row>
    <row r="45">
      <c r="B45" s="24">
        <f>B44+31</f>
        <v/>
      </c>
      <c r="C45" s="23">
        <f>+C44+5</f>
        <v/>
      </c>
      <c r="E45" s="25">
        <f>+C45/2</f>
        <v/>
      </c>
      <c r="F45" s="25">
        <f>+C45/2</f>
        <v/>
      </c>
    </row>
    <row r="46">
      <c r="B46" s="24">
        <f>B45+31</f>
        <v/>
      </c>
      <c r="C46" s="23">
        <f>+C45+5</f>
        <v/>
      </c>
      <c r="E46" s="25">
        <f>+C46/2</f>
        <v/>
      </c>
      <c r="F46" s="25">
        <f>+C46/2</f>
        <v/>
      </c>
    </row>
    <row r="47">
      <c r="B47" s="24">
        <f>B46+31</f>
        <v/>
      </c>
      <c r="C47" s="23">
        <f>+C46+5</f>
        <v/>
      </c>
      <c r="E47" s="25">
        <f>+C47/2</f>
        <v/>
      </c>
      <c r="F47" s="25">
        <f>+C47/2</f>
        <v/>
      </c>
    </row>
    <row r="48">
      <c r="B48" s="24">
        <f>B47+31</f>
        <v/>
      </c>
      <c r="C48" s="23">
        <f>+C47+5</f>
        <v/>
      </c>
      <c r="E48" s="25">
        <f>+C48/2</f>
        <v/>
      </c>
      <c r="F48" s="25">
        <f>+C48/2</f>
        <v/>
      </c>
    </row>
    <row r="49">
      <c r="B49" s="24">
        <f>B48+31</f>
        <v/>
      </c>
      <c r="C49" s="23">
        <f>+C48+5</f>
        <v/>
      </c>
      <c r="E49" s="25">
        <f>+C49/2</f>
        <v/>
      </c>
      <c r="F49" s="25">
        <f>+C49/2</f>
        <v/>
      </c>
      <c r="J49" t="inlineStr">
        <is>
          <t>Reaches targeted enrollment excluding China (20-25)</t>
        </is>
      </c>
    </row>
    <row r="50">
      <c r="B50" s="24">
        <f>B49+31</f>
        <v/>
      </c>
      <c r="C50" s="23">
        <f>+C49+5</f>
        <v/>
      </c>
      <c r="E50" s="25">
        <f>+C50/2</f>
        <v/>
      </c>
      <c r="F50" s="25">
        <f>+C50/2</f>
        <v/>
      </c>
    </row>
    <row r="51">
      <c r="B51" s="24">
        <f>B50+31</f>
        <v/>
      </c>
      <c r="C51" s="23">
        <f>+C50+5</f>
        <v/>
      </c>
      <c r="E51" s="25">
        <f>+C51/2</f>
        <v/>
      </c>
      <c r="F51" s="25">
        <f>+C51/2</f>
        <v/>
      </c>
    </row>
    <row r="52">
      <c r="B52" s="24">
        <f>B51+31</f>
        <v/>
      </c>
      <c r="C52" s="23">
        <f>+C51+5</f>
        <v/>
      </c>
      <c r="E52" s="25">
        <f>+C52/2</f>
        <v/>
      </c>
      <c r="F52" s="25">
        <f>+C52/2</f>
        <v/>
      </c>
    </row>
    <row r="53">
      <c r="B53" s="24">
        <f>B52+31</f>
        <v/>
      </c>
      <c r="C53" s="23" t="n">
        <v>123</v>
      </c>
      <c r="D53" t="n"/>
      <c r="E53" s="25">
        <f>+C53/2</f>
        <v/>
      </c>
      <c r="F53" s="25">
        <f>+C53/2</f>
        <v/>
      </c>
    </row>
    <row r="54">
      <c r="B54" s="24">
        <f>B53+31</f>
        <v/>
      </c>
    </row>
    <row r="55">
      <c r="B55" s="24">
        <f>B54+31</f>
        <v/>
      </c>
    </row>
    <row r="56">
      <c r="B56" s="24">
        <f>B55+29</f>
        <v/>
      </c>
    </row>
    <row r="57">
      <c r="B57" s="24">
        <f>B56+31</f>
        <v/>
      </c>
    </row>
    <row r="58">
      <c r="B58" s="24">
        <f>B57+31</f>
        <v/>
      </c>
    </row>
    <row r="59">
      <c r="B59" s="24">
        <f>B58+31</f>
        <v/>
      </c>
    </row>
    <row r="60">
      <c r="B60" s="24">
        <f>B59+29</f>
        <v/>
      </c>
    </row>
    <row r="61">
      <c r="B61" s="24">
        <f>B60+31</f>
        <v/>
      </c>
    </row>
    <row r="62">
      <c r="B62" s="24">
        <f>B61+31</f>
        <v/>
      </c>
      <c r="D62" s="23" t="n">
        <v>60</v>
      </c>
    </row>
    <row r="63">
      <c r="B63" s="24">
        <f>B62+31</f>
        <v/>
      </c>
      <c r="D63" s="23" t="n">
        <v>61</v>
      </c>
    </row>
    <row r="64">
      <c r="B64" s="24">
        <f>B63+28</f>
        <v/>
      </c>
      <c r="D64" s="23" t="n">
        <v>62</v>
      </c>
    </row>
    <row r="65">
      <c r="B65" s="24">
        <f>B64+31</f>
        <v/>
      </c>
      <c r="D65" s="23" t="n">
        <v>63</v>
      </c>
    </row>
    <row r="66">
      <c r="B66" s="24">
        <f>B65+31</f>
        <v/>
      </c>
      <c r="D66" s="23" t="n">
        <v>64</v>
      </c>
    </row>
    <row r="67">
      <c r="B67" s="24">
        <f>B66+31</f>
        <v/>
      </c>
      <c r="D67" s="23" t="n">
        <v>65</v>
      </c>
    </row>
    <row r="68">
      <c r="B68" s="24">
        <f>B67+28</f>
        <v/>
      </c>
      <c r="D68" s="23" t="n">
        <v>66</v>
      </c>
    </row>
    <row r="69">
      <c r="B69" s="24">
        <f>B68+31</f>
        <v/>
      </c>
      <c r="D69" s="23" t="n">
        <v>67</v>
      </c>
    </row>
    <row r="70">
      <c r="B70" s="24">
        <f>B69+31</f>
        <v/>
      </c>
      <c r="D70" s="23" t="n">
        <v>68</v>
      </c>
    </row>
    <row r="71">
      <c r="B71" s="24">
        <f>B70+31</f>
        <v/>
      </c>
      <c r="D71" s="23" t="n">
        <v>69</v>
      </c>
    </row>
    <row r="72">
      <c r="B72" s="24">
        <f>B71+31</f>
        <v/>
      </c>
      <c r="D72" s="23" t="n">
        <v>70</v>
      </c>
    </row>
    <row r="73">
      <c r="B73" s="24">
        <f>B72+31</f>
        <v/>
      </c>
      <c r="D73" s="23" t="n">
        <v>71</v>
      </c>
    </row>
    <row r="74">
      <c r="B74" s="24">
        <f>B73+31</f>
        <v/>
      </c>
      <c r="D74" s="23" t="n">
        <v>72</v>
      </c>
    </row>
    <row r="75">
      <c r="B75" s="24">
        <f>B74+31</f>
        <v/>
      </c>
      <c r="D75" s="23" t="n">
        <v>73</v>
      </c>
    </row>
    <row r="76">
      <c r="B76" s="24">
        <f>B75+28</f>
        <v/>
      </c>
      <c r="D76" s="23" t="n">
        <v>74</v>
      </c>
    </row>
    <row r="77">
      <c r="B77" s="24">
        <f>B76+31</f>
        <v/>
      </c>
      <c r="D77" s="23" t="n">
        <v>75</v>
      </c>
    </row>
    <row r="78">
      <c r="B78" s="24">
        <f>B77+28</f>
        <v/>
      </c>
      <c r="D78" s="23" t="n">
        <v>76</v>
      </c>
    </row>
    <row r="79">
      <c r="B79" s="24">
        <f>B78+31</f>
        <v/>
      </c>
      <c r="D79" s="23" t="n">
        <v>78</v>
      </c>
    </row>
    <row r="80">
      <c r="B80" s="24">
        <f>B79+31</f>
        <v/>
      </c>
    </row>
    <row r="81">
      <c r="B81" s="24">
        <f>B80+31</f>
        <v/>
      </c>
    </row>
    <row r="82">
      <c r="B82" s="24">
        <f>B81+31</f>
        <v/>
      </c>
    </row>
    <row r="83">
      <c r="B83" s="24">
        <f>B82+31</f>
        <v/>
      </c>
    </row>
    <row r="84">
      <c r="B84" s="24">
        <f>B83+28</f>
        <v/>
      </c>
    </row>
    <row r="85">
      <c r="B85" s="24">
        <f>B84+31</f>
        <v/>
      </c>
    </row>
    <row r="86">
      <c r="B86" s="24">
        <f>B85+31</f>
        <v/>
      </c>
    </row>
    <row r="87">
      <c r="B87" s="24" t="n"/>
    </row>
    <row r="88">
      <c r="B88" s="24" t="n"/>
    </row>
    <row r="89">
      <c r="B89" s="24" t="n"/>
    </row>
    <row r="90">
      <c r="B90" s="24" t="n"/>
    </row>
    <row r="219">
      <c r="B219" s="25" t="n"/>
    </row>
    <row r="220">
      <c r="B220" s="25" t="n"/>
    </row>
    <row r="221">
      <c r="B221" s="25" t="n"/>
    </row>
    <row r="222">
      <c r="B222" s="25" t="n"/>
    </row>
    <row r="223">
      <c r="B223" s="25" t="n"/>
    </row>
    <row r="224">
      <c r="B224" s="25" t="n"/>
    </row>
    <row r="225">
      <c r="B225" s="25" t="n"/>
    </row>
    <row r="226">
      <c r="B226" s="25" t="n"/>
    </row>
    <row r="227">
      <c r="B227" s="25" t="n"/>
    </row>
    <row r="228">
      <c r="B228" s="25" t="n"/>
    </row>
    <row r="229">
      <c r="B229" s="25" t="n"/>
    </row>
    <row r="230">
      <c r="B230" s="25" t="n"/>
    </row>
    <row r="231">
      <c r="B231" s="25" t="n"/>
    </row>
    <row r="232">
      <c r="B232" s="25" t="n"/>
    </row>
    <row r="233">
      <c r="B233" s="25" t="n"/>
    </row>
  </sheetData>
  <mergeCells count="3">
    <mergeCell ref="C1:D1"/>
    <mergeCell ref="G1:H1"/>
    <mergeCell ref="E1:F1"/>
  </mergeCell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K132"/>
  <sheetViews>
    <sheetView zoomScale="205" zoomScaleNormal="205" workbookViewId="0">
      <pane xSplit="2" ySplit="5" topLeftCell="C106" activePane="bottomRight" state="frozen"/>
      <selection pane="topRight" activeCell="C1" sqref="C1"/>
      <selection pane="bottomLeft" activeCell="A3" sqref="A3"/>
      <selection pane="bottomRight" activeCell="C132" sqref="C132"/>
    </sheetView>
  </sheetViews>
  <sheetFormatPr baseColWidth="8" defaultRowHeight="12.5"/>
  <cols>
    <col width="6.6328125" customWidth="1" min="1" max="1"/>
    <col width="10.453125" customWidth="1" min="2" max="2"/>
    <col width="11.81640625" bestFit="1" customWidth="1" min="3" max="3"/>
    <col width="0.36328125" customWidth="1" style="2" min="4" max="4"/>
    <col width="10" customWidth="1" style="2" min="5" max="5"/>
    <col width="8.7265625" customWidth="1" style="2" min="6" max="8"/>
  </cols>
  <sheetData>
    <row r="2">
      <c r="B2" t="inlineStr">
        <is>
          <t>median OS</t>
        </is>
      </c>
      <c r="C2" t="n">
        <v>24</v>
      </c>
      <c r="E2" s="2" t="inlineStr">
        <is>
          <t>Drug</t>
        </is>
      </c>
    </row>
    <row r="3">
      <c r="B3" t="inlineStr">
        <is>
          <t>median OS</t>
        </is>
      </c>
      <c r="C3" t="n">
        <v>24</v>
      </c>
      <c r="E3" s="2" t="inlineStr">
        <is>
          <t>BAT</t>
        </is>
      </c>
    </row>
    <row r="4">
      <c r="J4" s="32" t="inlineStr">
        <is>
          <t>Total Deaths</t>
        </is>
      </c>
    </row>
    <row r="5">
      <c r="B5" s="24" t="inlineStr">
        <is>
          <t>Patient</t>
        </is>
      </c>
      <c r="C5" t="inlineStr">
        <is>
          <t>Date Enrolled</t>
        </is>
      </c>
      <c r="D5" s="2" t="inlineStr">
        <is>
          <t>Random</t>
        </is>
      </c>
      <c r="E5" s="2" t="inlineStr">
        <is>
          <t>Assignment</t>
        </is>
      </c>
      <c r="F5" s="2" t="inlineStr">
        <is>
          <t>Drug</t>
        </is>
      </c>
      <c r="G5" s="2" t="inlineStr">
        <is>
          <t>Placebo</t>
        </is>
      </c>
      <c r="H5" s="2" t="inlineStr">
        <is>
          <t>Total</t>
        </is>
      </c>
      <c r="I5" s="2" t="inlineStr">
        <is>
          <t>Died</t>
        </is>
      </c>
      <c r="J5" s="2" t="inlineStr">
        <is>
          <t>Drug</t>
        </is>
      </c>
      <c r="K5" s="2" t="inlineStr">
        <is>
          <t>PBO</t>
        </is>
      </c>
    </row>
    <row r="6">
      <c r="B6" s="25" t="n">
        <v>1</v>
      </c>
      <c r="C6" s="22" t="n">
        <v>44197</v>
      </c>
      <c r="D6" s="2">
        <f>RANDBETWEEN(0,1)</f>
        <v/>
      </c>
      <c r="E6" s="2">
        <f>IF(D6=0,"PLACEBO","DRUG")</f>
        <v/>
      </c>
      <c r="F6" s="2">
        <f>SUM(D6)</f>
        <v/>
      </c>
      <c r="G6" s="2">
        <f>+H6-F6</f>
        <v/>
      </c>
      <c r="H6" s="2">
        <f>COUNT(B6)</f>
        <v/>
      </c>
      <c r="I6" s="22">
        <f>IF(D6=1,C6+($C$2*30),C6+($C$3*30))</f>
        <v/>
      </c>
    </row>
    <row r="7">
      <c r="B7" s="25">
        <f>B6+1</f>
        <v/>
      </c>
      <c r="C7" s="22" t="n">
        <v>44228</v>
      </c>
      <c r="D7" s="2">
        <f>RANDBETWEEN(0,1)</f>
        <v/>
      </c>
      <c r="E7" s="2">
        <f>IF(D7=0,"PLACEBO","DRUG")</f>
        <v/>
      </c>
      <c r="F7" s="2">
        <f>SUM($D$6:D7)</f>
        <v/>
      </c>
      <c r="G7" s="2">
        <f>+H7-F7</f>
        <v/>
      </c>
      <c r="H7" s="2">
        <f>COUNT($B$6:B7)</f>
        <v/>
      </c>
      <c r="I7" s="22">
        <f>IF(D7=1,C7+($C$2*30),C7+($C$3*30))</f>
        <v/>
      </c>
    </row>
    <row r="8">
      <c r="B8" s="25">
        <f>B7+1</f>
        <v/>
      </c>
      <c r="C8" s="22" t="n">
        <v>44256</v>
      </c>
      <c r="D8" s="2">
        <f>RANDBETWEEN(0,1)</f>
        <v/>
      </c>
      <c r="E8" s="2">
        <f>IF(D8=0,"PLACEBO","DRUG")</f>
        <v/>
      </c>
      <c r="F8" s="2">
        <f>SUM($D$6:D8)</f>
        <v/>
      </c>
      <c r="G8" s="2">
        <f>+H8-F8</f>
        <v/>
      </c>
      <c r="H8" s="2">
        <f>COUNT($B$6:B8)</f>
        <v/>
      </c>
      <c r="I8" s="22">
        <f>IF(D8=1,C8+($C$2*30),C8+($C$3*30))</f>
        <v/>
      </c>
    </row>
    <row r="9">
      <c r="B9" s="25">
        <f>B8+1</f>
        <v/>
      </c>
      <c r="C9" s="22" t="n">
        <v>44287</v>
      </c>
      <c r="D9" s="2">
        <f>RANDBETWEEN(0,1)</f>
        <v/>
      </c>
      <c r="E9" s="2">
        <f>IF(D9=0,"PLACEBO","DRUG")</f>
        <v/>
      </c>
      <c r="F9" s="2">
        <f>SUM($D$6:D9)</f>
        <v/>
      </c>
      <c r="G9" s="2">
        <f>+H9-F9</f>
        <v/>
      </c>
      <c r="H9" s="2">
        <f>COUNT($B$6:B9)</f>
        <v/>
      </c>
      <c r="I9" s="22">
        <f>IF(D9=1,C9+($C$2*30),C9+($C$3*30))</f>
        <v/>
      </c>
    </row>
    <row r="10">
      <c r="B10" s="25">
        <f>B9+1</f>
        <v/>
      </c>
      <c r="C10" s="22" t="n">
        <v>44317</v>
      </c>
      <c r="D10" s="2">
        <f>RANDBETWEEN(0,1)</f>
        <v/>
      </c>
      <c r="E10" s="2">
        <f>IF(D10=0,"PLACEBO","DRUG")</f>
        <v/>
      </c>
      <c r="F10" s="2">
        <f>SUM($D$6:D10)</f>
        <v/>
      </c>
      <c r="G10" s="2">
        <f>+H10-F10</f>
        <v/>
      </c>
      <c r="H10" s="2">
        <f>COUNT($B$6:B10)</f>
        <v/>
      </c>
      <c r="I10" s="22">
        <f>IF(D10=1,C10+($C$2*30),C10+($C$3*30))</f>
        <v/>
      </c>
    </row>
    <row r="11">
      <c r="B11" s="25">
        <f>B10+1</f>
        <v/>
      </c>
      <c r="C11" s="22" t="n">
        <v>44348</v>
      </c>
      <c r="D11" s="2">
        <f>RANDBETWEEN(0,1)</f>
        <v/>
      </c>
      <c r="E11" s="2">
        <f>IF(D11=0,"PLACEBO","DRUG")</f>
        <v/>
      </c>
      <c r="F11" s="2">
        <f>SUM($D$6:D11)</f>
        <v/>
      </c>
      <c r="G11" s="2">
        <f>+H11-F11</f>
        <v/>
      </c>
      <c r="H11" s="2">
        <f>COUNT($B$6:B11)</f>
        <v/>
      </c>
      <c r="I11" s="22">
        <f>IF(D11=1,C11+($C$2*30),C11+($C$3*30))</f>
        <v/>
      </c>
    </row>
    <row r="12">
      <c r="B12" s="25">
        <f>B11+1</f>
        <v/>
      </c>
      <c r="C12" s="22" t="n">
        <v>44378</v>
      </c>
      <c r="D12" s="2">
        <f>RANDBETWEEN(0,1)</f>
        <v/>
      </c>
      <c r="E12" s="2">
        <f>IF(D12=0,"PLACEBO","DRUG")</f>
        <v/>
      </c>
      <c r="F12" s="2">
        <f>SUM($D$6:D12)</f>
        <v/>
      </c>
      <c r="G12" s="2">
        <f>+H12-F12</f>
        <v/>
      </c>
      <c r="H12" s="2">
        <f>COUNT($B$6:B12)</f>
        <v/>
      </c>
      <c r="I12" s="22">
        <f>IF(D12=1,C12+($C$2*30),C12+($C$3*30))</f>
        <v/>
      </c>
    </row>
    <row r="13">
      <c r="B13" s="25">
        <f>B12+1</f>
        <v/>
      </c>
      <c r="C13" s="22" t="n">
        <v>44409</v>
      </c>
      <c r="D13" s="2">
        <f>RANDBETWEEN(0,1)</f>
        <v/>
      </c>
      <c r="E13" s="2">
        <f>IF(D13=0,"PLACEBO","DRUG")</f>
        <v/>
      </c>
      <c r="F13" s="2">
        <f>SUM($D$6:D13)</f>
        <v/>
      </c>
      <c r="G13" s="2">
        <f>+H13-F13</f>
        <v/>
      </c>
      <c r="H13" s="2">
        <f>COUNT($B$6:B13)</f>
        <v/>
      </c>
      <c r="I13" s="22">
        <f>IF(D13=1,C13+($C$2*30),C13+($C$3*30))</f>
        <v/>
      </c>
    </row>
    <row r="14">
      <c r="B14" s="25">
        <f>B13+1</f>
        <v/>
      </c>
      <c r="C14" s="22" t="n">
        <v>44440</v>
      </c>
      <c r="D14" s="2">
        <f>RANDBETWEEN(0,1)</f>
        <v/>
      </c>
      <c r="E14" s="2">
        <f>IF(D14=0,"PLACEBO","DRUG")</f>
        <v/>
      </c>
      <c r="F14" s="2">
        <f>SUM($D$6:D14)</f>
        <v/>
      </c>
      <c r="G14" s="2">
        <f>+H14-F14</f>
        <v/>
      </c>
      <c r="H14" s="2">
        <f>COUNT($B$6:B14)</f>
        <v/>
      </c>
      <c r="I14" s="22">
        <f>IF(D14=1,C14+($C$2*30),C14+($C$3*30))</f>
        <v/>
      </c>
    </row>
    <row r="15">
      <c r="B15" s="25">
        <f>B14+1</f>
        <v/>
      </c>
      <c r="C15" s="22" t="n">
        <v>44470</v>
      </c>
      <c r="D15" s="2">
        <f>RANDBETWEEN(0,1)</f>
        <v/>
      </c>
      <c r="E15" s="2">
        <f>IF(D15=0,"PLACEBO","DRUG")</f>
        <v/>
      </c>
      <c r="F15" s="2">
        <f>SUM($D$6:D15)</f>
        <v/>
      </c>
      <c r="G15" s="2">
        <f>+H15-F15</f>
        <v/>
      </c>
      <c r="H15" s="2">
        <f>COUNT($B$6:B15)</f>
        <v/>
      </c>
      <c r="I15" s="22">
        <f>IF(D15=1,C15+($C$2*30),C15+($C$3*30))</f>
        <v/>
      </c>
    </row>
    <row r="16">
      <c r="B16" s="25">
        <f>B15+1</f>
        <v/>
      </c>
      <c r="C16" s="22" t="n">
        <v>44501</v>
      </c>
      <c r="D16" s="2">
        <f>RANDBETWEEN(0,1)</f>
        <v/>
      </c>
      <c r="E16" s="2">
        <f>IF(D16=0,"PLACEBO","DRUG")</f>
        <v/>
      </c>
      <c r="F16" s="2">
        <f>SUM($D$6:D16)</f>
        <v/>
      </c>
      <c r="G16" s="2">
        <f>+H16-F16</f>
        <v/>
      </c>
      <c r="H16" s="2">
        <f>COUNT($B$6:B16)</f>
        <v/>
      </c>
      <c r="I16" s="22">
        <f>IF(D16=1,C16+($C$2*30),C16+($C$3*30))</f>
        <v/>
      </c>
    </row>
    <row r="17">
      <c r="B17" s="25">
        <f>B16+1</f>
        <v/>
      </c>
      <c r="C17" s="22" t="n">
        <v>44531</v>
      </c>
      <c r="D17" s="2">
        <f>RANDBETWEEN(0,1)</f>
        <v/>
      </c>
      <c r="E17" s="2">
        <f>IF(D17=0,"PLACEBO","DRUG")</f>
        <v/>
      </c>
      <c r="F17" s="2">
        <f>SUM($D$6:D17)</f>
        <v/>
      </c>
      <c r="G17" s="2">
        <f>+H17-F17</f>
        <v/>
      </c>
      <c r="H17" s="2">
        <f>COUNT($B$6:B17)</f>
        <v/>
      </c>
      <c r="I17" s="22">
        <f>IF(D17=1,C17+($C$2*30),C17+($C$3*30))</f>
        <v/>
      </c>
    </row>
    <row r="18">
      <c r="B18" s="25">
        <f>B17+1</f>
        <v/>
      </c>
      <c r="C18" s="22" t="n">
        <v>44562</v>
      </c>
      <c r="D18" s="2">
        <f>RANDBETWEEN(0,1)</f>
        <v/>
      </c>
      <c r="E18" s="2">
        <f>IF(D18=0,"PLACEBO","DRUG")</f>
        <v/>
      </c>
      <c r="F18" s="2">
        <f>SUM($D$6:D18)</f>
        <v/>
      </c>
      <c r="G18" s="2">
        <f>+H18-F18</f>
        <v/>
      </c>
      <c r="H18" s="2">
        <f>COUNT($B$6:B18)</f>
        <v/>
      </c>
      <c r="I18" s="22">
        <f>IF(D18=1,C18+($C$2*30),C18+($C$3*30))</f>
        <v/>
      </c>
    </row>
    <row r="19">
      <c r="B19" s="25">
        <f>B18+1</f>
        <v/>
      </c>
      <c r="C19" s="22" t="n">
        <v>44593</v>
      </c>
      <c r="D19" s="2">
        <f>RANDBETWEEN(0,1)</f>
        <v/>
      </c>
      <c r="E19" s="2">
        <f>IF(D19=0,"PLACEBO","DRUG")</f>
        <v/>
      </c>
      <c r="F19" s="2">
        <f>SUM($D$6:D19)</f>
        <v/>
      </c>
      <c r="G19" s="2">
        <f>+H19-F19</f>
        <v/>
      </c>
      <c r="H19" s="2">
        <f>COUNT($B$6:B19)</f>
        <v/>
      </c>
      <c r="I19" s="22">
        <f>IF(D19=1,C19+($C$2*30),C19+($C$3*30))</f>
        <v/>
      </c>
    </row>
    <row r="20">
      <c r="B20" s="25">
        <f>B19+1</f>
        <v/>
      </c>
      <c r="C20" s="22" t="n">
        <v>44621</v>
      </c>
      <c r="D20" s="2">
        <f>RANDBETWEEN(0,1)</f>
        <v/>
      </c>
      <c r="E20" s="2">
        <f>IF(D20=0,"PLACEBO","DRUG")</f>
        <v/>
      </c>
      <c r="F20" s="2">
        <f>SUM($D$6:D20)</f>
        <v/>
      </c>
      <c r="G20" s="2">
        <f>+H20-F20</f>
        <v/>
      </c>
      <c r="H20" s="2">
        <f>COUNT($B$6:B20)</f>
        <v/>
      </c>
      <c r="I20" s="22">
        <f>IF(D20=1,C20+($C$2*30),C20+($C$3*30))</f>
        <v/>
      </c>
    </row>
    <row r="21">
      <c r="B21" s="25">
        <f>B20+1</f>
        <v/>
      </c>
      <c r="C21" s="22" t="n">
        <v>44621</v>
      </c>
      <c r="D21" s="2">
        <f>RANDBETWEEN(0,1)</f>
        <v/>
      </c>
      <c r="E21" s="2">
        <f>IF(D21=0,"PLACEBO","DRUG")</f>
        <v/>
      </c>
      <c r="F21" s="2">
        <f>SUM($D$6:D21)</f>
        <v/>
      </c>
      <c r="G21" s="2">
        <f>+H21-F21</f>
        <v/>
      </c>
      <c r="H21" s="2">
        <f>COUNT($B$6:B21)</f>
        <v/>
      </c>
      <c r="I21" s="22">
        <f>IF(D21=1,C21+($C$2*30),C21+($C$3*30))</f>
        <v/>
      </c>
    </row>
    <row r="22">
      <c r="B22" s="25">
        <f>B21+1</f>
        <v/>
      </c>
      <c r="C22" s="22" t="n">
        <v>44652</v>
      </c>
      <c r="D22" s="2">
        <f>RANDBETWEEN(0,1)</f>
        <v/>
      </c>
      <c r="E22" s="2">
        <f>IF(D22=0,"PLACEBO","DRUG")</f>
        <v/>
      </c>
      <c r="F22" s="2">
        <f>SUM($D$6:D22)</f>
        <v/>
      </c>
      <c r="G22" s="2">
        <f>+H22-F22</f>
        <v/>
      </c>
      <c r="H22" s="2">
        <f>COUNT($B$6:B22)</f>
        <v/>
      </c>
      <c r="I22" s="22">
        <f>IF(D22=1,C22+($C$2*30),C22+($C$3*30))</f>
        <v/>
      </c>
    </row>
    <row r="23">
      <c r="B23" s="25">
        <f>B22+1</f>
        <v/>
      </c>
      <c r="C23" s="22" t="n">
        <v>44652</v>
      </c>
      <c r="D23" s="2">
        <f>RANDBETWEEN(0,1)</f>
        <v/>
      </c>
      <c r="E23" s="2">
        <f>IF(D23=0,"PLACEBO","DRUG")</f>
        <v/>
      </c>
      <c r="F23" s="2">
        <f>SUM($D$6:D23)</f>
        <v/>
      </c>
      <c r="G23" s="2">
        <f>+H23-F23</f>
        <v/>
      </c>
      <c r="H23" s="2">
        <f>COUNT($B$6:B23)</f>
        <v/>
      </c>
      <c r="I23" s="22">
        <f>IF(D23=1,C23+($C$2*30),C23+($C$3*30))</f>
        <v/>
      </c>
    </row>
    <row r="24">
      <c r="B24" s="25">
        <f>B23+1</f>
        <v/>
      </c>
      <c r="C24" s="22" t="n">
        <v>44682</v>
      </c>
      <c r="D24" s="2">
        <f>RANDBETWEEN(0,1)</f>
        <v/>
      </c>
      <c r="E24" s="2">
        <f>IF(D24=0,"PLACEBO","DRUG")</f>
        <v/>
      </c>
      <c r="F24" s="2">
        <f>SUM($D$6:D24)</f>
        <v/>
      </c>
      <c r="G24" s="2">
        <f>+H24-F24</f>
        <v/>
      </c>
      <c r="H24" s="2">
        <f>COUNT($B$6:B24)</f>
        <v/>
      </c>
      <c r="I24" s="22">
        <f>IF(D24=1,C24+($C$2*30),C24+($C$3*30))</f>
        <v/>
      </c>
    </row>
    <row r="25">
      <c r="B25" s="25">
        <f>B24+1</f>
        <v/>
      </c>
      <c r="C25" s="22" t="n">
        <v>44682</v>
      </c>
      <c r="D25" s="2">
        <f>RANDBETWEEN(0,1)</f>
        <v/>
      </c>
      <c r="E25" s="2">
        <f>IF(D25=0,"PLACEBO","DRUG")</f>
        <v/>
      </c>
      <c r="F25" s="2">
        <f>SUM($D$6:D25)</f>
        <v/>
      </c>
      <c r="G25" s="2">
        <f>+H25-F25</f>
        <v/>
      </c>
      <c r="H25" s="2">
        <f>COUNT($B$6:B25)</f>
        <v/>
      </c>
      <c r="I25" s="22">
        <f>IF(D25=1,C25+($C$2*30),C25+($C$3*30))</f>
        <v/>
      </c>
    </row>
    <row r="26">
      <c r="B26" s="25">
        <f>B25+1</f>
        <v/>
      </c>
      <c r="C26" s="22" t="n">
        <v>44682</v>
      </c>
      <c r="D26" s="2">
        <f>RANDBETWEEN(0,1)</f>
        <v/>
      </c>
      <c r="E26" s="2">
        <f>IF(D26=0,"PLACEBO","DRUG")</f>
        <v/>
      </c>
      <c r="F26" s="2">
        <f>SUM($D$6:D26)</f>
        <v/>
      </c>
      <c r="G26" s="2">
        <f>+H26-F26</f>
        <v/>
      </c>
      <c r="H26" s="2">
        <f>COUNT($B$6:B26)</f>
        <v/>
      </c>
      <c r="I26" s="22">
        <f>IF(D26=1,C26+($C$2*30),C26+($C$3*30))</f>
        <v/>
      </c>
    </row>
    <row r="27">
      <c r="B27" s="25">
        <f>B26+1</f>
        <v/>
      </c>
      <c r="C27" s="22" t="n">
        <v>44713</v>
      </c>
      <c r="D27" s="2">
        <f>RANDBETWEEN(0,1)</f>
        <v/>
      </c>
      <c r="E27" s="2">
        <f>IF(D27=0,"PLACEBO","DRUG")</f>
        <v/>
      </c>
      <c r="F27" s="2">
        <f>SUM($D$6:D27)</f>
        <v/>
      </c>
      <c r="G27" s="2">
        <f>+H27-F27</f>
        <v/>
      </c>
      <c r="H27" s="2">
        <f>COUNT($B$6:B27)</f>
        <v/>
      </c>
      <c r="I27" s="22">
        <f>IF(D27=1,C27+($C$2*30),C27+($C$3*30))</f>
        <v/>
      </c>
    </row>
    <row r="28">
      <c r="B28" s="25">
        <f>B27+1</f>
        <v/>
      </c>
      <c r="C28" s="22" t="n">
        <v>44713</v>
      </c>
      <c r="D28" s="2">
        <f>RANDBETWEEN(0,1)</f>
        <v/>
      </c>
      <c r="E28" s="2">
        <f>IF(D28=0,"PLACEBO","DRUG")</f>
        <v/>
      </c>
      <c r="F28" s="2">
        <f>SUM($D$6:D28)</f>
        <v/>
      </c>
      <c r="G28" s="2">
        <f>+H28-F28</f>
        <v/>
      </c>
      <c r="H28" s="2">
        <f>COUNT($B$6:B28)</f>
        <v/>
      </c>
      <c r="I28" s="22">
        <f>IF(D28=1,C28+($C$2*30),C28+($C$3*30))</f>
        <v/>
      </c>
    </row>
    <row r="29">
      <c r="B29" s="25">
        <f>B28+1</f>
        <v/>
      </c>
      <c r="C29" s="22" t="n">
        <v>44713</v>
      </c>
      <c r="D29" s="2">
        <f>RANDBETWEEN(0,1)</f>
        <v/>
      </c>
      <c r="E29" s="2">
        <f>IF(D29=0,"PLACEBO","DRUG")</f>
        <v/>
      </c>
      <c r="F29" s="2">
        <f>SUM($D$6:D29)</f>
        <v/>
      </c>
      <c r="G29" s="2">
        <f>+H29-F29</f>
        <v/>
      </c>
      <c r="H29" s="2">
        <f>COUNT($B$6:B29)</f>
        <v/>
      </c>
      <c r="I29" s="22">
        <f>IF(D29=1,C29+($C$2*30),C29+($C$3*30))</f>
        <v/>
      </c>
    </row>
    <row r="30">
      <c r="B30" s="25">
        <f>B29+1</f>
        <v/>
      </c>
      <c r="C30" s="22" t="n">
        <v>44743</v>
      </c>
      <c r="D30" s="2">
        <f>RANDBETWEEN(0,1)</f>
        <v/>
      </c>
      <c r="E30" s="2">
        <f>IF(D30=0,"PLACEBO","DRUG")</f>
        <v/>
      </c>
      <c r="F30" s="2">
        <f>SUM($D$6:D30)</f>
        <v/>
      </c>
      <c r="G30" s="2">
        <f>+H30-F30</f>
        <v/>
      </c>
      <c r="H30" s="2">
        <f>COUNT($B$6:B30)</f>
        <v/>
      </c>
      <c r="I30" s="22">
        <f>IF(D30=1,C30+($C$2*30),C30+($C$3*30))</f>
        <v/>
      </c>
    </row>
    <row r="31">
      <c r="B31" s="25">
        <f>B30+1</f>
        <v/>
      </c>
      <c r="C31" s="22" t="n">
        <v>44743</v>
      </c>
      <c r="D31" s="2">
        <f>RANDBETWEEN(0,1)</f>
        <v/>
      </c>
      <c r="E31" s="2">
        <f>IF(D31=0,"PLACEBO","DRUG")</f>
        <v/>
      </c>
      <c r="F31" s="2">
        <f>SUM($D$6:D31)</f>
        <v/>
      </c>
      <c r="G31" s="2">
        <f>+H31-F31</f>
        <v/>
      </c>
      <c r="H31" s="2">
        <f>COUNT($B$6:B31)</f>
        <v/>
      </c>
      <c r="I31" s="22">
        <f>IF(D31=1,C31+($C$2*30),C31+($C$3*30))</f>
        <v/>
      </c>
    </row>
    <row r="32">
      <c r="B32" s="25">
        <f>B31+1</f>
        <v/>
      </c>
      <c r="C32" s="22" t="n">
        <v>44743</v>
      </c>
      <c r="D32" s="2">
        <f>RANDBETWEEN(0,1)</f>
        <v/>
      </c>
      <c r="E32" s="2">
        <f>IF(D32=0,"PLACEBO","DRUG")</f>
        <v/>
      </c>
      <c r="F32" s="2">
        <f>SUM($D$6:D32)</f>
        <v/>
      </c>
      <c r="G32" s="2">
        <f>+H32-F32</f>
        <v/>
      </c>
      <c r="H32" s="2">
        <f>COUNT($B$6:B32)</f>
        <v/>
      </c>
      <c r="I32" s="22">
        <f>IF(D32=1,C32+($C$2*30),C32+($C$3*30))</f>
        <v/>
      </c>
    </row>
    <row r="33">
      <c r="B33" s="25">
        <f>B32+1</f>
        <v/>
      </c>
      <c r="C33" s="22" t="n">
        <v>44774</v>
      </c>
      <c r="D33" s="2">
        <f>RANDBETWEEN(0,1)</f>
        <v/>
      </c>
      <c r="E33" s="2">
        <f>IF(D33=0,"PLACEBO","DRUG")</f>
        <v/>
      </c>
      <c r="F33" s="2">
        <f>SUM($D$6:D33)</f>
        <v/>
      </c>
      <c r="G33" s="2">
        <f>+H33-F33</f>
        <v/>
      </c>
      <c r="H33" s="2">
        <f>COUNT($B$6:B33)</f>
        <v/>
      </c>
      <c r="I33" s="22">
        <f>IF(D33=1,C33+($C$2*30),C33+($C$3*30))</f>
        <v/>
      </c>
    </row>
    <row r="34">
      <c r="B34" s="25">
        <f>B33+1</f>
        <v/>
      </c>
      <c r="C34" s="22" t="n">
        <v>44774</v>
      </c>
      <c r="D34" s="2">
        <f>RANDBETWEEN(0,1)</f>
        <v/>
      </c>
      <c r="E34" s="2">
        <f>IF(D34=0,"PLACEBO","DRUG")</f>
        <v/>
      </c>
      <c r="F34" s="2">
        <f>SUM($D$6:D34)</f>
        <v/>
      </c>
      <c r="G34" s="2">
        <f>+H34-F34</f>
        <v/>
      </c>
      <c r="H34" s="2">
        <f>COUNT($B$6:B34)</f>
        <v/>
      </c>
      <c r="I34" s="22">
        <f>IF(D34=1,C34+($C$2*30),C34+($C$3*30))</f>
        <v/>
      </c>
    </row>
    <row r="35">
      <c r="B35" s="25">
        <f>B34+1</f>
        <v/>
      </c>
      <c r="C35" s="22" t="n">
        <v>44774</v>
      </c>
      <c r="D35" s="2">
        <f>RANDBETWEEN(0,1)</f>
        <v/>
      </c>
      <c r="E35" s="2">
        <f>IF(D35=0,"PLACEBO","DRUG")</f>
        <v/>
      </c>
      <c r="F35" s="2">
        <f>SUM($D$6:D35)</f>
        <v/>
      </c>
      <c r="G35" s="2">
        <f>+H35-F35</f>
        <v/>
      </c>
      <c r="H35" s="2">
        <f>COUNT($B$6:B35)</f>
        <v/>
      </c>
      <c r="I35" s="22">
        <f>IF(D35=1,C35+($C$2*30),C35+($C$3*30))</f>
        <v/>
      </c>
    </row>
    <row r="36">
      <c r="B36" s="25">
        <f>B35+1</f>
        <v/>
      </c>
      <c r="C36" s="22" t="n">
        <v>44805</v>
      </c>
      <c r="D36" s="2">
        <f>RANDBETWEEN(0,1)</f>
        <v/>
      </c>
      <c r="E36" s="2">
        <f>IF(D36=0,"PLACEBO","DRUG")</f>
        <v/>
      </c>
      <c r="F36" s="2">
        <f>SUM($D$6:D36)</f>
        <v/>
      </c>
      <c r="G36" s="2">
        <f>+H36-F36</f>
        <v/>
      </c>
      <c r="H36" s="2">
        <f>COUNT($B$6:B36)</f>
        <v/>
      </c>
      <c r="I36" s="22">
        <f>IF(D36=1,C36+($C$2*30),C36+($C$3*30))</f>
        <v/>
      </c>
    </row>
    <row r="37">
      <c r="B37" s="25">
        <f>B36+1</f>
        <v/>
      </c>
      <c r="C37" s="22" t="n">
        <v>44805</v>
      </c>
      <c r="D37" s="2">
        <f>RANDBETWEEN(0,1)</f>
        <v/>
      </c>
      <c r="E37" s="2">
        <f>IF(D37=0,"PLACEBO","DRUG")</f>
        <v/>
      </c>
      <c r="F37" s="2">
        <f>SUM($D$6:D37)</f>
        <v/>
      </c>
      <c r="G37" s="2">
        <f>+H37-F37</f>
        <v/>
      </c>
      <c r="H37" s="2">
        <f>COUNT($B$6:B37)</f>
        <v/>
      </c>
      <c r="I37" s="22">
        <f>IF(D37=1,C37+($C$2*30),C37+($C$3*30))</f>
        <v/>
      </c>
    </row>
    <row r="38">
      <c r="B38" s="25">
        <f>B37+1</f>
        <v/>
      </c>
      <c r="C38" s="22" t="n">
        <v>44805</v>
      </c>
      <c r="D38" s="2">
        <f>RANDBETWEEN(0,1)</f>
        <v/>
      </c>
      <c r="E38" s="2">
        <f>IF(D38=0,"PLACEBO","DRUG")</f>
        <v/>
      </c>
      <c r="F38" s="2">
        <f>SUM($D$6:D38)</f>
        <v/>
      </c>
      <c r="G38" s="2">
        <f>+H38-F38</f>
        <v/>
      </c>
      <c r="H38" s="2">
        <f>COUNT($B$6:B38)</f>
        <v/>
      </c>
      <c r="I38" s="22">
        <f>IF(D38=1,C38+($C$2*30),C38+($C$3*30))</f>
        <v/>
      </c>
    </row>
    <row r="39">
      <c r="B39" s="25">
        <f>B38+1</f>
        <v/>
      </c>
      <c r="C39" s="22" t="n">
        <v>44805</v>
      </c>
      <c r="D39" s="2">
        <f>RANDBETWEEN(0,1)</f>
        <v/>
      </c>
      <c r="E39" s="2">
        <f>IF(D39=0,"PLACEBO","DRUG")</f>
        <v/>
      </c>
      <c r="F39" s="2">
        <f>SUM($D$6:D39)</f>
        <v/>
      </c>
      <c r="G39" s="2">
        <f>+H39-F39</f>
        <v/>
      </c>
      <c r="H39" s="2">
        <f>COUNT($B$6:B39)</f>
        <v/>
      </c>
      <c r="I39" s="22">
        <f>IF(D39=1,C39+($C$2*30),C39+($C$3*30))</f>
        <v/>
      </c>
    </row>
    <row r="40">
      <c r="B40" s="25">
        <f>B39+1</f>
        <v/>
      </c>
      <c r="C40" s="22" t="n">
        <v>44835</v>
      </c>
      <c r="D40" s="2">
        <f>RANDBETWEEN(0,1)</f>
        <v/>
      </c>
      <c r="E40" s="2">
        <f>IF(D40=0,"PLACEBO","DRUG")</f>
        <v/>
      </c>
      <c r="F40" s="2">
        <f>SUM($D$6:D40)</f>
        <v/>
      </c>
      <c r="G40" s="2">
        <f>+H40-F40</f>
        <v/>
      </c>
      <c r="H40" s="2">
        <f>COUNT($B$6:B40)</f>
        <v/>
      </c>
      <c r="I40" s="22">
        <f>IF(D40=1,C40+($C$2*30),C40+($C$3*30))</f>
        <v/>
      </c>
    </row>
    <row r="41">
      <c r="B41" s="25">
        <f>B40+1</f>
        <v/>
      </c>
      <c r="C41" s="22" t="n">
        <v>44835</v>
      </c>
      <c r="D41" s="2">
        <f>RANDBETWEEN(0,1)</f>
        <v/>
      </c>
      <c r="E41" s="2">
        <f>IF(D41=0,"PLACEBO","DRUG")</f>
        <v/>
      </c>
      <c r="F41" s="2">
        <f>SUM($D$6:D41)</f>
        <v/>
      </c>
      <c r="G41" s="2">
        <f>+H41-F41</f>
        <v/>
      </c>
      <c r="H41" s="2">
        <f>COUNT($B$6:B41)</f>
        <v/>
      </c>
      <c r="I41" s="22">
        <f>IF(D41=1,C41+($C$2*30),C41+($C$3*30))</f>
        <v/>
      </c>
    </row>
    <row r="42">
      <c r="B42" s="25">
        <f>B41+1</f>
        <v/>
      </c>
      <c r="C42" s="22" t="n">
        <v>44835</v>
      </c>
      <c r="D42" s="2">
        <f>RANDBETWEEN(0,1)</f>
        <v/>
      </c>
      <c r="E42" s="2">
        <f>IF(D42=0,"PLACEBO","DRUG")</f>
        <v/>
      </c>
      <c r="F42" s="2">
        <f>SUM($D$6:D42)</f>
        <v/>
      </c>
      <c r="G42" s="2">
        <f>+H42-F42</f>
        <v/>
      </c>
      <c r="H42" s="2">
        <f>COUNT($B$6:B42)</f>
        <v/>
      </c>
      <c r="I42" s="22">
        <f>IF(D42=1,C42+($C$2*30),C42+($C$3*30))</f>
        <v/>
      </c>
    </row>
    <row r="43">
      <c r="B43" s="25">
        <f>B42+1</f>
        <v/>
      </c>
      <c r="C43" s="22" t="n">
        <v>44835</v>
      </c>
      <c r="D43" s="2">
        <f>RANDBETWEEN(0,1)</f>
        <v/>
      </c>
      <c r="E43" s="2">
        <f>IF(D43=0,"PLACEBO","DRUG")</f>
        <v/>
      </c>
      <c r="F43" s="2">
        <f>SUM($D$6:D43)</f>
        <v/>
      </c>
      <c r="G43" s="2">
        <f>+H43-F43</f>
        <v/>
      </c>
      <c r="H43" s="2">
        <f>COUNT($B$6:B43)</f>
        <v/>
      </c>
      <c r="I43" s="22">
        <f>IF(D43=1,C43+($C$2*30),C43+($C$3*30))</f>
        <v/>
      </c>
    </row>
    <row r="44">
      <c r="B44" s="25">
        <f>B43+1</f>
        <v/>
      </c>
      <c r="C44" s="22" t="n">
        <v>44866</v>
      </c>
      <c r="D44" s="2">
        <f>RANDBETWEEN(0,1)</f>
        <v/>
      </c>
      <c r="E44" s="2">
        <f>IF(D44=0,"PLACEBO","DRUG")</f>
        <v/>
      </c>
      <c r="F44" s="2">
        <f>SUM($D$6:D44)</f>
        <v/>
      </c>
      <c r="G44" s="2">
        <f>+H44-F44</f>
        <v/>
      </c>
      <c r="H44" s="2">
        <f>COUNT($B$6:B44)</f>
        <v/>
      </c>
      <c r="I44" s="22">
        <f>IF(D44=1,C44+($C$2*30),C44+($C$3*30))</f>
        <v/>
      </c>
    </row>
    <row r="45">
      <c r="B45" s="25">
        <f>B44+1</f>
        <v/>
      </c>
      <c r="C45" s="22" t="n">
        <v>44866</v>
      </c>
      <c r="D45" s="2">
        <f>RANDBETWEEN(0,1)</f>
        <v/>
      </c>
      <c r="E45" s="2">
        <f>IF(D45=0,"PLACEBO","DRUG")</f>
        <v/>
      </c>
      <c r="F45" s="2">
        <f>SUM($D$6:D45)</f>
        <v/>
      </c>
      <c r="G45" s="2">
        <f>+H45-F45</f>
        <v/>
      </c>
      <c r="H45" s="2">
        <f>COUNT($B$6:B45)</f>
        <v/>
      </c>
      <c r="I45" s="22">
        <f>IF(D45=1,C45+($C$2*30),C45+($C$3*30))</f>
        <v/>
      </c>
    </row>
    <row r="46">
      <c r="B46" s="25">
        <f>B45+1</f>
        <v/>
      </c>
      <c r="C46" s="22" t="n">
        <v>44866</v>
      </c>
      <c r="D46" s="2">
        <f>RANDBETWEEN(0,1)</f>
        <v/>
      </c>
      <c r="E46" s="2">
        <f>IF(D46=0,"PLACEBO","DRUG")</f>
        <v/>
      </c>
      <c r="F46" s="2">
        <f>SUM($D$6:D46)</f>
        <v/>
      </c>
      <c r="G46" s="2">
        <f>+H46-F46</f>
        <v/>
      </c>
      <c r="H46" s="2">
        <f>COUNT($B$6:B46)</f>
        <v/>
      </c>
      <c r="I46" s="22">
        <f>IF(D46=1,C46+($C$2*30),C46+($C$3*30))</f>
        <v/>
      </c>
    </row>
    <row r="47">
      <c r="B47" s="25">
        <f>B46+1</f>
        <v/>
      </c>
      <c r="C47" s="22" t="n">
        <v>44866</v>
      </c>
      <c r="D47" s="2">
        <f>RANDBETWEEN(0,1)</f>
        <v/>
      </c>
      <c r="E47" s="2">
        <f>IF(D47=0,"PLACEBO","DRUG")</f>
        <v/>
      </c>
      <c r="F47" s="2">
        <f>SUM($D$6:D47)</f>
        <v/>
      </c>
      <c r="G47" s="2">
        <f>+H47-F47</f>
        <v/>
      </c>
      <c r="H47" s="2">
        <f>COUNT($B$6:B47)</f>
        <v/>
      </c>
      <c r="I47" s="22">
        <f>IF(D47=1,C47+($C$2*30),C47+($C$3*30))</f>
        <v/>
      </c>
    </row>
    <row r="48">
      <c r="B48" s="25">
        <f>B47+1</f>
        <v/>
      </c>
      <c r="C48" s="22" t="n">
        <v>44866</v>
      </c>
      <c r="D48" s="2">
        <f>RANDBETWEEN(0,1)</f>
        <v/>
      </c>
      <c r="E48" s="2">
        <f>IF(D48=0,"PLACEBO","DRUG")</f>
        <v/>
      </c>
      <c r="F48" s="2">
        <f>SUM($D$6:D48)</f>
        <v/>
      </c>
      <c r="G48" s="2">
        <f>+H48-F48</f>
        <v/>
      </c>
      <c r="H48" s="2">
        <f>COUNT($B$6:B48)</f>
        <v/>
      </c>
      <c r="I48" s="22">
        <f>IF(D48=1,C48+($C$2*30),C48+($C$3*30))</f>
        <v/>
      </c>
    </row>
    <row r="49">
      <c r="B49" s="25">
        <f>B48+1</f>
        <v/>
      </c>
      <c r="C49" s="22" t="n">
        <v>44896</v>
      </c>
      <c r="D49" s="2">
        <f>RANDBETWEEN(0,1)</f>
        <v/>
      </c>
      <c r="E49" s="2">
        <f>IF(D49=0,"PLACEBO","DRUG")</f>
        <v/>
      </c>
      <c r="F49" s="2">
        <f>SUM($D$6:D49)</f>
        <v/>
      </c>
      <c r="G49" s="2">
        <f>+H49-F49</f>
        <v/>
      </c>
      <c r="H49" s="2">
        <f>COUNT($B$6:B49)</f>
        <v/>
      </c>
      <c r="I49" s="22">
        <f>IF(D49=1,C49+($C$2*30),C49+($C$3*30))</f>
        <v/>
      </c>
    </row>
    <row r="50">
      <c r="B50" s="25">
        <f>B49+1</f>
        <v/>
      </c>
      <c r="C50" s="22" t="n">
        <v>44896</v>
      </c>
      <c r="D50" s="2">
        <f>RANDBETWEEN(0,1)</f>
        <v/>
      </c>
      <c r="E50" s="2">
        <f>IF(D50=0,"PLACEBO","DRUG")</f>
        <v/>
      </c>
      <c r="F50" s="2">
        <f>SUM($D$6:D50)</f>
        <v/>
      </c>
      <c r="G50" s="2">
        <f>+H50-F50</f>
        <v/>
      </c>
      <c r="H50" s="2">
        <f>COUNT($B$6:B50)</f>
        <v/>
      </c>
      <c r="I50" s="22">
        <f>IF(D50=1,C50+($C$2*30),C50+($C$3*30))</f>
        <v/>
      </c>
    </row>
    <row r="51">
      <c r="B51" s="25">
        <f>B50+1</f>
        <v/>
      </c>
      <c r="C51" s="22" t="n">
        <v>44896</v>
      </c>
      <c r="D51" s="2">
        <f>RANDBETWEEN(0,1)</f>
        <v/>
      </c>
      <c r="E51" s="2">
        <f>IF(D51=0,"PLACEBO","DRUG")</f>
        <v/>
      </c>
      <c r="F51" s="2">
        <f>SUM($D$6:D51)</f>
        <v/>
      </c>
      <c r="G51" s="2">
        <f>+H51-F51</f>
        <v/>
      </c>
      <c r="H51" s="2">
        <f>COUNT($B$6:B51)</f>
        <v/>
      </c>
      <c r="I51" s="22">
        <f>IF(D51=1,C51+($C$2*30),C51+($C$3*30))</f>
        <v/>
      </c>
    </row>
    <row r="52">
      <c r="B52" s="25">
        <f>B51+1</f>
        <v/>
      </c>
      <c r="C52" s="22" t="n">
        <v>44896</v>
      </c>
      <c r="D52" s="2">
        <f>RANDBETWEEN(0,1)</f>
        <v/>
      </c>
      <c r="E52" s="2">
        <f>IF(D52=0,"PLACEBO","DRUG")</f>
        <v/>
      </c>
      <c r="F52" s="2">
        <f>SUM($D$6:D52)</f>
        <v/>
      </c>
      <c r="G52" s="2">
        <f>+H52-F52</f>
        <v/>
      </c>
      <c r="H52" s="2">
        <f>COUNT($B$6:B52)</f>
        <v/>
      </c>
      <c r="I52" s="22">
        <f>IF(D52=1,C52+($C$2*30),C52+($C$3*30))</f>
        <v/>
      </c>
    </row>
    <row r="53">
      <c r="B53" s="25">
        <f>B52+1</f>
        <v/>
      </c>
      <c r="C53" s="22" t="n">
        <v>44896</v>
      </c>
      <c r="D53" s="2">
        <f>RANDBETWEEN(0,1)</f>
        <v/>
      </c>
      <c r="E53" s="2">
        <f>IF(D53=0,"PLACEBO","DRUG")</f>
        <v/>
      </c>
      <c r="F53" s="2">
        <f>SUM($D$6:D53)</f>
        <v/>
      </c>
      <c r="G53" s="2">
        <f>+H53-F53</f>
        <v/>
      </c>
      <c r="H53" s="2">
        <f>COUNT($B$6:B53)</f>
        <v/>
      </c>
      <c r="I53" s="22">
        <f>IF(D53=1,C53+($C$2*30),C53+($C$3*30))</f>
        <v/>
      </c>
    </row>
    <row r="54">
      <c r="B54" s="25">
        <f>B53+1</f>
        <v/>
      </c>
      <c r="C54" s="22" t="n">
        <v>44927</v>
      </c>
      <c r="D54" s="2">
        <f>RANDBETWEEN(0,1)</f>
        <v/>
      </c>
      <c r="E54" s="2">
        <f>IF(D54=0,"PLACEBO","DRUG")</f>
        <v/>
      </c>
      <c r="F54" s="2">
        <f>SUM($D$6:D54)</f>
        <v/>
      </c>
      <c r="G54" s="2">
        <f>+H54-F54</f>
        <v/>
      </c>
      <c r="H54" s="2">
        <f>COUNT($B$6:B54)</f>
        <v/>
      </c>
      <c r="I54" s="22">
        <f>IF(D54=1,C54+($C$2*30),C54+($C$3*30))</f>
        <v/>
      </c>
    </row>
    <row r="55">
      <c r="B55" s="25">
        <f>B54+1</f>
        <v/>
      </c>
      <c r="C55" s="22" t="n">
        <v>44927</v>
      </c>
      <c r="D55" s="2">
        <f>RANDBETWEEN(0,1)</f>
        <v/>
      </c>
      <c r="E55" s="2">
        <f>IF(D55=0,"PLACEBO","DRUG")</f>
        <v/>
      </c>
      <c r="F55" s="2">
        <f>SUM($D$6:D55)</f>
        <v/>
      </c>
      <c r="G55" s="2">
        <f>+H55-F55</f>
        <v/>
      </c>
      <c r="H55" s="2">
        <f>COUNT($B$6:B55)</f>
        <v/>
      </c>
      <c r="I55" s="22">
        <f>IF(D55=1,C55+($C$2*30),C55+($C$3*30))</f>
        <v/>
      </c>
    </row>
    <row r="56">
      <c r="B56" s="25">
        <f>B55+1</f>
        <v/>
      </c>
      <c r="C56" s="22" t="n">
        <v>44927</v>
      </c>
      <c r="D56" s="2">
        <f>RANDBETWEEN(0,1)</f>
        <v/>
      </c>
      <c r="E56" s="2">
        <f>IF(D56=0,"PLACEBO","DRUG")</f>
        <v/>
      </c>
      <c r="F56" s="2">
        <f>SUM($D$6:D56)</f>
        <v/>
      </c>
      <c r="G56" s="2">
        <f>+H56-F56</f>
        <v/>
      </c>
      <c r="H56" s="2">
        <f>COUNT($B$6:B56)</f>
        <v/>
      </c>
      <c r="I56" s="22">
        <f>IF(D56=1,C56+($C$2*30),C56+($C$3*30))</f>
        <v/>
      </c>
    </row>
    <row r="57">
      <c r="B57" s="25">
        <f>B56+1</f>
        <v/>
      </c>
      <c r="C57" s="22" t="n">
        <v>44927</v>
      </c>
      <c r="D57" s="2">
        <f>RANDBETWEEN(0,1)</f>
        <v/>
      </c>
      <c r="E57" s="2">
        <f>IF(D57=0,"PLACEBO","DRUG")</f>
        <v/>
      </c>
      <c r="F57" s="2">
        <f>SUM($D$6:D57)</f>
        <v/>
      </c>
      <c r="G57" s="2">
        <f>+H57-F57</f>
        <v/>
      </c>
      <c r="H57" s="2">
        <f>COUNT($B$6:B57)</f>
        <v/>
      </c>
      <c r="I57" s="22">
        <f>IF(D57=1,C57+($C$2*30),C57+($C$3*30))</f>
        <v/>
      </c>
    </row>
    <row r="58">
      <c r="B58" s="25">
        <f>B57+1</f>
        <v/>
      </c>
      <c r="C58" s="22" t="n">
        <v>44927</v>
      </c>
      <c r="D58" s="2">
        <f>RANDBETWEEN(0,1)</f>
        <v/>
      </c>
      <c r="E58" s="2">
        <f>IF(D58=0,"PLACEBO","DRUG")</f>
        <v/>
      </c>
      <c r="F58" s="2">
        <f>SUM($D$6:D58)</f>
        <v/>
      </c>
      <c r="G58" s="2">
        <f>+H58-F58</f>
        <v/>
      </c>
      <c r="H58" s="2">
        <f>COUNT($B$6:B58)</f>
        <v/>
      </c>
      <c r="I58" s="22">
        <f>IF(D58=1,C58+($C$2*30),C58+($C$3*30))</f>
        <v/>
      </c>
    </row>
    <row r="59">
      <c r="B59" s="25">
        <f>B58+1</f>
        <v/>
      </c>
      <c r="C59" s="22" t="n">
        <v>44958</v>
      </c>
      <c r="D59" s="2">
        <f>RANDBETWEEN(0,1)</f>
        <v/>
      </c>
      <c r="E59" s="2">
        <f>IF(D59=0,"PLACEBO","DRUG")</f>
        <v/>
      </c>
      <c r="F59" s="2">
        <f>SUM($D$6:D59)</f>
        <v/>
      </c>
      <c r="G59" s="2">
        <f>+H59-F59</f>
        <v/>
      </c>
      <c r="H59" s="2">
        <f>COUNT($B$6:B59)</f>
        <v/>
      </c>
      <c r="I59" s="22">
        <f>IF(D59=1,C59+($C$2*30),C59+($C$3*30))</f>
        <v/>
      </c>
    </row>
    <row r="60">
      <c r="B60" s="25">
        <f>B59+1</f>
        <v/>
      </c>
      <c r="C60" s="22" t="n">
        <v>44958</v>
      </c>
      <c r="D60" s="2">
        <f>RANDBETWEEN(0,1)</f>
        <v/>
      </c>
      <c r="E60" s="2">
        <f>IF(D60=0,"PLACEBO","DRUG")</f>
        <v/>
      </c>
      <c r="F60" s="2">
        <f>SUM($D$6:D60)</f>
        <v/>
      </c>
      <c r="G60" s="2">
        <f>+H60-F60</f>
        <v/>
      </c>
      <c r="H60" s="2">
        <f>COUNT($B$6:B60)</f>
        <v/>
      </c>
      <c r="I60" s="22">
        <f>IF(D60=1,C60+($C$2*30),C60+($C$3*30))</f>
        <v/>
      </c>
    </row>
    <row r="61">
      <c r="B61" s="25">
        <f>B60+1</f>
        <v/>
      </c>
      <c r="C61" s="22" t="n">
        <v>44958</v>
      </c>
      <c r="D61" s="2">
        <f>RANDBETWEEN(0,1)</f>
        <v/>
      </c>
      <c r="E61" s="2">
        <f>IF(D61=0,"PLACEBO","DRUG")</f>
        <v/>
      </c>
      <c r="F61" s="2">
        <f>SUM($D$6:D61)</f>
        <v/>
      </c>
      <c r="G61" s="2">
        <f>+H61-F61</f>
        <v/>
      </c>
      <c r="H61" s="2">
        <f>COUNT($B$6:B61)</f>
        <v/>
      </c>
      <c r="I61" s="22">
        <f>IF(D61=1,C61+($C$2*30),C61+($C$3*30))</f>
        <v/>
      </c>
    </row>
    <row r="62">
      <c r="B62" s="25">
        <f>B61+1</f>
        <v/>
      </c>
      <c r="C62" s="22" t="n">
        <v>44958</v>
      </c>
      <c r="D62" s="2">
        <f>RANDBETWEEN(0,1)</f>
        <v/>
      </c>
      <c r="E62" s="2">
        <f>IF(D62=0,"PLACEBO","DRUG")</f>
        <v/>
      </c>
      <c r="F62" s="2">
        <f>SUM($D$6:D62)</f>
        <v/>
      </c>
      <c r="G62" s="2">
        <f>+H62-F62</f>
        <v/>
      </c>
      <c r="H62" s="2">
        <f>COUNT($B$6:B62)</f>
        <v/>
      </c>
      <c r="I62" s="22">
        <f>IF(D62=1,C62+($C$2*30),C62+($C$3*30))</f>
        <v/>
      </c>
    </row>
    <row r="63">
      <c r="B63" s="25">
        <f>B62+1</f>
        <v/>
      </c>
      <c r="C63" s="22" t="n">
        <v>44958</v>
      </c>
      <c r="D63" s="2">
        <f>RANDBETWEEN(0,1)</f>
        <v/>
      </c>
      <c r="E63" s="2">
        <f>IF(D63=0,"PLACEBO","DRUG")</f>
        <v/>
      </c>
      <c r="F63" s="2">
        <f>SUM($D$6:D63)</f>
        <v/>
      </c>
      <c r="G63" s="2">
        <f>+H63-F63</f>
        <v/>
      </c>
      <c r="H63" s="2">
        <f>COUNT($B$6:B63)</f>
        <v/>
      </c>
      <c r="I63" s="22">
        <f>IF(D63=1,C63+($C$2*30),C63+($C$3*30))</f>
        <v/>
      </c>
    </row>
    <row r="64">
      <c r="B64" s="25">
        <f>B63+1</f>
        <v/>
      </c>
      <c r="C64" s="22" t="n">
        <v>44986</v>
      </c>
      <c r="D64" s="2">
        <f>RANDBETWEEN(0,1)</f>
        <v/>
      </c>
      <c r="E64" s="2">
        <f>IF(D64=0,"PLACEBO","DRUG")</f>
        <v/>
      </c>
      <c r="F64" s="2">
        <f>SUM($D$6:D64)</f>
        <v/>
      </c>
      <c r="G64" s="2">
        <f>+H64-F64</f>
        <v/>
      </c>
      <c r="H64" s="2">
        <f>COUNT($B$6:B64)</f>
        <v/>
      </c>
      <c r="I64" s="22">
        <f>IF(D64=1,C64+($C$2*30),C64+($C$3*30))</f>
        <v/>
      </c>
    </row>
    <row r="65">
      <c r="B65" s="25">
        <f>B64+1</f>
        <v/>
      </c>
      <c r="C65" s="22" t="n">
        <v>44986</v>
      </c>
      <c r="D65" s="2">
        <f>RANDBETWEEN(0,1)</f>
        <v/>
      </c>
      <c r="E65" s="2">
        <f>IF(D65=0,"PLACEBO","DRUG")</f>
        <v/>
      </c>
      <c r="F65" s="2">
        <f>SUM($D$6:D65)</f>
        <v/>
      </c>
      <c r="G65" s="2">
        <f>+H65-F65</f>
        <v/>
      </c>
      <c r="H65" s="2">
        <f>COUNT($B$6:B65)</f>
        <v/>
      </c>
      <c r="I65" s="22">
        <f>IF(D65=1,C65+($C$2*30),C65+($C$3*30))</f>
        <v/>
      </c>
    </row>
    <row r="66">
      <c r="B66" s="25">
        <f>B65+1</f>
        <v/>
      </c>
      <c r="C66" s="22" t="n">
        <v>44986</v>
      </c>
      <c r="D66" s="2">
        <f>RANDBETWEEN(0,1)</f>
        <v/>
      </c>
      <c r="E66" s="2">
        <f>IF(D66=0,"PLACEBO","DRUG")</f>
        <v/>
      </c>
      <c r="F66" s="2">
        <f>SUM($D$6:D66)</f>
        <v/>
      </c>
      <c r="G66" s="2">
        <f>+H66-F66</f>
        <v/>
      </c>
      <c r="H66" s="2">
        <f>COUNT($B$6:B66)</f>
        <v/>
      </c>
      <c r="I66" s="22">
        <f>IF(D66=1,C66+($C$2*30),C66+($C$3*30))</f>
        <v/>
      </c>
    </row>
    <row r="67">
      <c r="B67" s="25">
        <f>B66+1</f>
        <v/>
      </c>
      <c r="C67" s="22" t="n">
        <v>44986</v>
      </c>
      <c r="D67" s="2">
        <f>RANDBETWEEN(0,1)</f>
        <v/>
      </c>
      <c r="E67" s="2">
        <f>IF(D67=0,"PLACEBO","DRUG")</f>
        <v/>
      </c>
      <c r="F67" s="2">
        <f>SUM($D$6:D67)</f>
        <v/>
      </c>
      <c r="G67" s="2">
        <f>+H67-F67</f>
        <v/>
      </c>
      <c r="H67" s="2">
        <f>COUNT($B$6:B67)</f>
        <v/>
      </c>
      <c r="I67" s="22">
        <f>IF(D67=1,C67+($C$2*30),C67+($C$3*30))</f>
        <v/>
      </c>
    </row>
    <row r="68">
      <c r="B68" s="25">
        <f>B67+1</f>
        <v/>
      </c>
      <c r="C68" s="22" t="n">
        <v>44986</v>
      </c>
      <c r="D68" s="2">
        <f>RANDBETWEEN(0,1)</f>
        <v/>
      </c>
      <c r="E68" s="2">
        <f>IF(D68=0,"PLACEBO","DRUG")</f>
        <v/>
      </c>
      <c r="F68" s="2">
        <f>SUM($D$6:D68)</f>
        <v/>
      </c>
      <c r="G68" s="2">
        <f>+H68-F68</f>
        <v/>
      </c>
      <c r="H68" s="2">
        <f>COUNT($B$6:B68)</f>
        <v/>
      </c>
      <c r="I68" s="22">
        <f>IF(D68=1,C68+($C$2*30),C68+($C$3*30))</f>
        <v/>
      </c>
    </row>
    <row r="69">
      <c r="B69" s="25">
        <f>B68+1</f>
        <v/>
      </c>
      <c r="C69" s="22" t="n">
        <v>45017</v>
      </c>
      <c r="D69" s="2">
        <f>RANDBETWEEN(0,1)</f>
        <v/>
      </c>
      <c r="E69" s="2">
        <f>IF(D69=0,"PLACEBO","DRUG")</f>
        <v/>
      </c>
      <c r="F69" s="2">
        <f>SUM($D$6:D69)</f>
        <v/>
      </c>
      <c r="G69" s="2">
        <f>+H69-F69</f>
        <v/>
      </c>
      <c r="H69" s="2">
        <f>COUNT($B$6:B69)</f>
        <v/>
      </c>
      <c r="I69" s="22">
        <f>IF(D69=1,C69+($C$2*30),C69+($C$3*30))</f>
        <v/>
      </c>
    </row>
    <row r="70">
      <c r="B70" s="25">
        <f>B69+1</f>
        <v/>
      </c>
      <c r="C70" s="22" t="n">
        <v>45017</v>
      </c>
      <c r="D70" s="2">
        <f>RANDBETWEEN(0,1)</f>
        <v/>
      </c>
      <c r="E70" s="2">
        <f>IF(D70=0,"PLACEBO","DRUG")</f>
        <v/>
      </c>
      <c r="F70" s="2">
        <f>SUM($D$6:D70)</f>
        <v/>
      </c>
      <c r="G70" s="2">
        <f>+H70-F70</f>
        <v/>
      </c>
      <c r="H70" s="2">
        <f>COUNT($B$6:B70)</f>
        <v/>
      </c>
      <c r="I70" s="22">
        <f>IF(D70=1,C70+($C$2*30),C70+($C$3*30))</f>
        <v/>
      </c>
    </row>
    <row r="71">
      <c r="B71" s="25">
        <f>B70+1</f>
        <v/>
      </c>
      <c r="C71" s="22" t="n">
        <v>45017</v>
      </c>
      <c r="D71" s="2">
        <f>RANDBETWEEN(0,1)</f>
        <v/>
      </c>
      <c r="E71" s="2">
        <f>IF(D71=0,"PLACEBO","DRUG")</f>
        <v/>
      </c>
      <c r="F71" s="2">
        <f>SUM($D$6:D71)</f>
        <v/>
      </c>
      <c r="G71" s="2">
        <f>+H71-F71</f>
        <v/>
      </c>
      <c r="H71" s="2">
        <f>COUNT($B$6:B71)</f>
        <v/>
      </c>
      <c r="I71" s="22">
        <f>IF(D71=1,C71+($C$2*30),C71+($C$3*30))</f>
        <v/>
      </c>
    </row>
    <row r="72">
      <c r="B72" s="25">
        <f>B71+1</f>
        <v/>
      </c>
      <c r="C72" s="22" t="n">
        <v>45017</v>
      </c>
      <c r="D72" s="2">
        <f>RANDBETWEEN(0,1)</f>
        <v/>
      </c>
      <c r="E72" s="2">
        <f>IF(D72=0,"PLACEBO","DRUG")</f>
        <v/>
      </c>
      <c r="F72" s="2">
        <f>SUM($D$6:D72)</f>
        <v/>
      </c>
      <c r="G72" s="2">
        <f>+H72-F72</f>
        <v/>
      </c>
      <c r="H72" s="2">
        <f>COUNT($B$6:B72)</f>
        <v/>
      </c>
      <c r="I72" s="22">
        <f>IF(D72=1,C72+($C$2*30),C72+($C$3*30))</f>
        <v/>
      </c>
    </row>
    <row r="73">
      <c r="B73" s="25">
        <f>B72+1</f>
        <v/>
      </c>
      <c r="C73" s="22" t="n">
        <v>45017</v>
      </c>
      <c r="D73" s="2">
        <f>RANDBETWEEN(0,1)</f>
        <v/>
      </c>
      <c r="E73" s="2">
        <f>IF(D73=0,"PLACEBO","DRUG")</f>
        <v/>
      </c>
      <c r="F73" s="2">
        <f>SUM($D$6:D73)</f>
        <v/>
      </c>
      <c r="G73" s="2">
        <f>+H73-F73</f>
        <v/>
      </c>
      <c r="H73" s="2">
        <f>COUNT($B$6:B73)</f>
        <v/>
      </c>
      <c r="I73" s="22">
        <f>IF(D73=1,C73+($C$2*30),C73+($C$3*30))</f>
        <v/>
      </c>
    </row>
    <row r="74">
      <c r="B74" s="25">
        <f>B73+1</f>
        <v/>
      </c>
      <c r="C74" s="22" t="n">
        <v>45047</v>
      </c>
      <c r="D74" s="2">
        <f>RANDBETWEEN(0,1)</f>
        <v/>
      </c>
      <c r="E74" s="2">
        <f>IF(D74=0,"PLACEBO","DRUG")</f>
        <v/>
      </c>
      <c r="F74" s="2">
        <f>SUM($D$6:D74)</f>
        <v/>
      </c>
      <c r="G74" s="2">
        <f>+H74-F74</f>
        <v/>
      </c>
      <c r="H74" s="2">
        <f>COUNT($B$6:B74)</f>
        <v/>
      </c>
      <c r="I74" s="22">
        <f>IF(D74=1,C74+($C$2*30),C74+($C$3*30))</f>
        <v/>
      </c>
    </row>
    <row r="75">
      <c r="B75" s="25">
        <f>B74+1</f>
        <v/>
      </c>
      <c r="C75" s="22" t="n">
        <v>45047</v>
      </c>
      <c r="D75" s="2">
        <f>RANDBETWEEN(0,1)</f>
        <v/>
      </c>
      <c r="E75" s="2">
        <f>IF(D75=0,"PLACEBO","DRUG")</f>
        <v/>
      </c>
      <c r="F75" s="2">
        <f>SUM($D$6:D75)</f>
        <v/>
      </c>
      <c r="G75" s="2">
        <f>+H75-F75</f>
        <v/>
      </c>
      <c r="H75" s="2">
        <f>COUNT($B$6:B75)</f>
        <v/>
      </c>
      <c r="I75" s="22">
        <f>IF(D75=1,C75+($C$2*30),C75+($C$3*30))</f>
        <v/>
      </c>
    </row>
    <row r="76">
      <c r="B76" s="25">
        <f>B75+1</f>
        <v/>
      </c>
      <c r="C76" s="22" t="n">
        <v>45047</v>
      </c>
      <c r="D76" s="2">
        <f>RANDBETWEEN(0,1)</f>
        <v/>
      </c>
      <c r="E76" s="2">
        <f>IF(D76=0,"PLACEBO","DRUG")</f>
        <v/>
      </c>
      <c r="F76" s="2">
        <f>SUM($D$6:D76)</f>
        <v/>
      </c>
      <c r="G76" s="2">
        <f>+H76-F76</f>
        <v/>
      </c>
      <c r="H76" s="2">
        <f>COUNT($B$6:B76)</f>
        <v/>
      </c>
      <c r="I76" s="22">
        <f>IF(D76=1,C76+($C$2*30),C76+($C$3*30))</f>
        <v/>
      </c>
    </row>
    <row r="77">
      <c r="B77" s="25">
        <f>B76+1</f>
        <v/>
      </c>
      <c r="C77" s="22" t="n">
        <v>45047</v>
      </c>
      <c r="D77" s="2">
        <f>RANDBETWEEN(0,1)</f>
        <v/>
      </c>
      <c r="E77" s="2">
        <f>IF(D77=0,"PLACEBO","DRUG")</f>
        <v/>
      </c>
      <c r="F77" s="2">
        <f>SUM($D$6:D77)</f>
        <v/>
      </c>
      <c r="G77" s="2">
        <f>+H77-F77</f>
        <v/>
      </c>
      <c r="H77" s="2">
        <f>COUNT($B$6:B77)</f>
        <v/>
      </c>
      <c r="I77" s="22">
        <f>IF(D77=1,C77+($C$2*30),C77+($C$3*30))</f>
        <v/>
      </c>
    </row>
    <row r="78">
      <c r="B78" s="25">
        <f>B77+1</f>
        <v/>
      </c>
      <c r="C78" s="22" t="n">
        <v>45047</v>
      </c>
      <c r="D78" s="2">
        <f>RANDBETWEEN(0,1)</f>
        <v/>
      </c>
      <c r="E78" s="2">
        <f>IF(D78=0,"PLACEBO","DRUG")</f>
        <v/>
      </c>
      <c r="F78" s="2">
        <f>SUM($D$6:D78)</f>
        <v/>
      </c>
      <c r="G78" s="2">
        <f>+H78-F78</f>
        <v/>
      </c>
      <c r="H78" s="2">
        <f>COUNT($B$6:B78)</f>
        <v/>
      </c>
      <c r="I78" s="22">
        <f>IF(D78=1,C78+($C$2*30),C78+($C$3*30))</f>
        <v/>
      </c>
    </row>
    <row r="79">
      <c r="B79" s="25">
        <f>B78+1</f>
        <v/>
      </c>
      <c r="C79" s="22" t="n">
        <v>45078</v>
      </c>
      <c r="D79" s="2">
        <f>RANDBETWEEN(0,1)</f>
        <v/>
      </c>
      <c r="E79" s="2">
        <f>IF(D79=0,"PLACEBO","DRUG")</f>
        <v/>
      </c>
      <c r="F79" s="2">
        <f>SUM($D$6:D79)</f>
        <v/>
      </c>
      <c r="G79" s="2">
        <f>+H79-F79</f>
        <v/>
      </c>
      <c r="H79" s="2">
        <f>COUNT($B$6:B79)</f>
        <v/>
      </c>
      <c r="I79" s="22">
        <f>IF(D79=1,C79+($C$2*30),C79+($C$3*30))</f>
        <v/>
      </c>
    </row>
    <row r="80">
      <c r="B80" s="25">
        <f>B79+1</f>
        <v/>
      </c>
      <c r="C80" s="22" t="n">
        <v>45078</v>
      </c>
      <c r="D80" s="2">
        <f>RANDBETWEEN(0,1)</f>
        <v/>
      </c>
      <c r="E80" s="2">
        <f>IF(D80=0,"PLACEBO","DRUG")</f>
        <v/>
      </c>
      <c r="F80" s="2">
        <f>SUM($D$6:D80)</f>
        <v/>
      </c>
      <c r="G80" s="2">
        <f>+H80-F80</f>
        <v/>
      </c>
      <c r="H80" s="2">
        <f>COUNT($B$6:B80)</f>
        <v/>
      </c>
      <c r="I80" s="22">
        <f>IF(D80=1,C80+($C$2*30),C80+($C$3*30))</f>
        <v/>
      </c>
    </row>
    <row r="81">
      <c r="B81" s="25">
        <f>B80+1</f>
        <v/>
      </c>
      <c r="C81" s="22" t="n">
        <v>45078</v>
      </c>
      <c r="D81" s="2">
        <f>RANDBETWEEN(0,1)</f>
        <v/>
      </c>
      <c r="E81" s="2">
        <f>IF(D81=0,"PLACEBO","DRUG")</f>
        <v/>
      </c>
      <c r="F81" s="2">
        <f>SUM($D$6:D81)</f>
        <v/>
      </c>
      <c r="G81" s="2">
        <f>+H81-F81</f>
        <v/>
      </c>
      <c r="H81" s="2">
        <f>COUNT($B$6:B81)</f>
        <v/>
      </c>
      <c r="I81" s="22">
        <f>IF(D81=1,C81+($C$2*30),C81+($C$3*30))</f>
        <v/>
      </c>
    </row>
    <row r="82">
      <c r="B82" s="25">
        <f>B81+1</f>
        <v/>
      </c>
      <c r="C82" s="22" t="n">
        <v>45078</v>
      </c>
      <c r="D82" s="2">
        <f>RANDBETWEEN(0,1)</f>
        <v/>
      </c>
      <c r="E82" s="2">
        <f>IF(D82=0,"PLACEBO","DRUG")</f>
        <v/>
      </c>
      <c r="F82" s="2">
        <f>SUM($D$6:D82)</f>
        <v/>
      </c>
      <c r="G82" s="2">
        <f>+H82-F82</f>
        <v/>
      </c>
      <c r="H82" s="2">
        <f>COUNT($B$6:B82)</f>
        <v/>
      </c>
      <c r="I82" s="22">
        <f>IF(D82=1,C82+($C$2*30),C82+($C$3*30))</f>
        <v/>
      </c>
    </row>
    <row r="83">
      <c r="B83" s="25">
        <f>B82+1</f>
        <v/>
      </c>
      <c r="C83" s="22" t="n">
        <v>45078</v>
      </c>
      <c r="D83" s="2">
        <f>RANDBETWEEN(0,1)</f>
        <v/>
      </c>
      <c r="E83" s="2">
        <f>IF(D83=0,"PLACEBO","DRUG")</f>
        <v/>
      </c>
      <c r="F83" s="2">
        <f>SUM($D$6:D83)</f>
        <v/>
      </c>
      <c r="G83" s="2">
        <f>+H83-F83</f>
        <v/>
      </c>
      <c r="H83" s="2">
        <f>COUNT($B$6:B83)</f>
        <v/>
      </c>
      <c r="I83" s="22">
        <f>IF(D83=1,C83+($C$2*30),C83+($C$3*30))</f>
        <v/>
      </c>
    </row>
    <row r="84">
      <c r="B84" s="25">
        <f>B83+1</f>
        <v/>
      </c>
      <c r="C84" s="22" t="n">
        <v>45108</v>
      </c>
      <c r="D84" s="2">
        <f>RANDBETWEEN(0,1)</f>
        <v/>
      </c>
      <c r="E84" s="2">
        <f>IF(D84=0,"PLACEBO","DRUG")</f>
        <v/>
      </c>
      <c r="F84" s="2">
        <f>SUM($D$6:D84)</f>
        <v/>
      </c>
      <c r="G84" s="2">
        <f>+H84-F84</f>
        <v/>
      </c>
      <c r="H84" s="2">
        <f>COUNT($B$6:B84)</f>
        <v/>
      </c>
      <c r="I84" s="22">
        <f>IF(D84=1,C84+($C$2*30),C84+($C$3*30))</f>
        <v/>
      </c>
    </row>
    <row r="85">
      <c r="B85" s="25">
        <f>B84+1</f>
        <v/>
      </c>
      <c r="C85" s="22" t="n">
        <v>45108</v>
      </c>
      <c r="D85" s="2">
        <f>RANDBETWEEN(0,1)</f>
        <v/>
      </c>
      <c r="E85" s="2">
        <f>IF(D85=0,"PLACEBO","DRUG")</f>
        <v/>
      </c>
      <c r="F85" s="2">
        <f>SUM($D$6:D85)</f>
        <v/>
      </c>
      <c r="G85" s="2">
        <f>+H85-F85</f>
        <v/>
      </c>
      <c r="H85" s="2">
        <f>COUNT($B$6:B85)</f>
        <v/>
      </c>
      <c r="I85" s="22">
        <f>IF(D85=1,C85+($C$2*30),C85+($C$3*30))</f>
        <v/>
      </c>
    </row>
    <row r="86">
      <c r="B86" s="25">
        <f>B85+1</f>
        <v/>
      </c>
      <c r="C86" s="22" t="n">
        <v>45108</v>
      </c>
      <c r="D86" s="2">
        <f>RANDBETWEEN(0,1)</f>
        <v/>
      </c>
      <c r="E86" s="2">
        <f>IF(D86=0,"PLACEBO","DRUG")</f>
        <v/>
      </c>
      <c r="F86" s="2">
        <f>SUM($D$6:D86)</f>
        <v/>
      </c>
      <c r="G86" s="2">
        <f>+H86-F86</f>
        <v/>
      </c>
      <c r="H86" s="2">
        <f>COUNT($B$6:B86)</f>
        <v/>
      </c>
      <c r="I86" s="22">
        <f>IF(D86=1,C86+($C$2*30),C86+($C$3*30))</f>
        <v/>
      </c>
    </row>
    <row r="87">
      <c r="B87" s="25">
        <f>B86+1</f>
        <v/>
      </c>
      <c r="C87" s="22" t="n">
        <v>45108</v>
      </c>
      <c r="D87" s="2">
        <f>RANDBETWEEN(0,1)</f>
        <v/>
      </c>
      <c r="E87" s="2">
        <f>IF(D87=0,"PLACEBO","DRUG")</f>
        <v/>
      </c>
      <c r="F87" s="2">
        <f>SUM($D$6:D87)</f>
        <v/>
      </c>
      <c r="G87" s="2">
        <f>+H87-F87</f>
        <v/>
      </c>
      <c r="H87" s="2">
        <f>COUNT($B$6:B87)</f>
        <v/>
      </c>
      <c r="I87" s="22">
        <f>IF(D87=1,C87+($C$2*30),C87+($C$3*30))</f>
        <v/>
      </c>
    </row>
    <row r="88">
      <c r="B88" s="25">
        <f>B87+1</f>
        <v/>
      </c>
      <c r="C88" s="22" t="n">
        <v>45108</v>
      </c>
      <c r="D88" s="2">
        <f>RANDBETWEEN(0,1)</f>
        <v/>
      </c>
      <c r="E88" s="2">
        <f>IF(D88=0,"PLACEBO","DRUG")</f>
        <v/>
      </c>
      <c r="F88" s="2">
        <f>SUM($D$6:D88)</f>
        <v/>
      </c>
      <c r="G88" s="2">
        <f>+H88-F88</f>
        <v/>
      </c>
      <c r="H88" s="2">
        <f>COUNT($B$6:B88)</f>
        <v/>
      </c>
      <c r="I88" s="22">
        <f>IF(D88=1,C88+($C$2*30),C88+($C$3*30))</f>
        <v/>
      </c>
    </row>
    <row r="89">
      <c r="B89" s="25">
        <f>B88+1</f>
        <v/>
      </c>
      <c r="C89" s="22" t="n">
        <v>45139</v>
      </c>
      <c r="D89" s="2">
        <f>RANDBETWEEN(0,1)</f>
        <v/>
      </c>
      <c r="E89" s="2">
        <f>IF(D89=0,"PLACEBO","DRUG")</f>
        <v/>
      </c>
      <c r="F89" s="2">
        <f>SUM($D$6:D89)</f>
        <v/>
      </c>
      <c r="G89" s="2">
        <f>+H89-F89</f>
        <v/>
      </c>
      <c r="H89" s="2">
        <f>COUNT($B$6:B89)</f>
        <v/>
      </c>
      <c r="I89" s="22">
        <f>IF(D89=1,C89+($C$2*30),C89+($C$3*30))</f>
        <v/>
      </c>
    </row>
    <row r="90">
      <c r="B90" s="25">
        <f>B89+1</f>
        <v/>
      </c>
      <c r="C90" s="22" t="n">
        <v>45139</v>
      </c>
      <c r="D90" s="2">
        <f>RANDBETWEEN(0,1)</f>
        <v/>
      </c>
      <c r="E90" s="2">
        <f>IF(D90=0,"PLACEBO","DRUG")</f>
        <v/>
      </c>
      <c r="F90" s="2">
        <f>SUM($D$6:D90)</f>
        <v/>
      </c>
      <c r="G90" s="2">
        <f>+H90-F90</f>
        <v/>
      </c>
      <c r="H90" s="2">
        <f>COUNT($B$6:B90)</f>
        <v/>
      </c>
      <c r="I90" s="22">
        <f>IF(D90=1,C90+($C$2*30),C90+($C$3*30))</f>
        <v/>
      </c>
    </row>
    <row r="91">
      <c r="B91" s="25">
        <f>B90+1</f>
        <v/>
      </c>
      <c r="C91" s="22" t="n">
        <v>45139</v>
      </c>
      <c r="D91" s="2">
        <f>RANDBETWEEN(0,1)</f>
        <v/>
      </c>
      <c r="E91" s="2">
        <f>IF(D91=0,"PLACEBO","DRUG")</f>
        <v/>
      </c>
      <c r="F91" s="2">
        <f>SUM($D$6:D91)</f>
        <v/>
      </c>
      <c r="G91" s="2">
        <f>+H91-F91</f>
        <v/>
      </c>
      <c r="H91" s="2">
        <f>COUNT($B$6:B91)</f>
        <v/>
      </c>
      <c r="I91" s="22">
        <f>IF(D91=1,C91+($C$2*30),C91+($C$3*30))</f>
        <v/>
      </c>
    </row>
    <row r="92">
      <c r="B92" s="25">
        <f>B91+1</f>
        <v/>
      </c>
      <c r="C92" s="22" t="n">
        <v>45139</v>
      </c>
      <c r="D92" s="2">
        <f>RANDBETWEEN(0,1)</f>
        <v/>
      </c>
      <c r="E92" s="2">
        <f>IF(D92=0,"PLACEBO","DRUG")</f>
        <v/>
      </c>
      <c r="F92" s="2">
        <f>SUM($D$6:D92)</f>
        <v/>
      </c>
      <c r="G92" s="2">
        <f>+H92-F92</f>
        <v/>
      </c>
      <c r="H92" s="2">
        <f>COUNT($B$6:B92)</f>
        <v/>
      </c>
      <c r="I92" s="22">
        <f>IF(D92=1,C92+($C$2*30),C92+($C$3*30))</f>
        <v/>
      </c>
    </row>
    <row r="93">
      <c r="B93" s="25">
        <f>B92+1</f>
        <v/>
      </c>
      <c r="C93" s="22" t="n">
        <v>45139</v>
      </c>
      <c r="D93" s="2">
        <f>RANDBETWEEN(0,1)</f>
        <v/>
      </c>
      <c r="E93" s="2">
        <f>IF(D93=0,"PLACEBO","DRUG")</f>
        <v/>
      </c>
      <c r="F93" s="2">
        <f>SUM($D$6:D93)</f>
        <v/>
      </c>
      <c r="G93" s="2">
        <f>+H93-F93</f>
        <v/>
      </c>
      <c r="H93" s="2">
        <f>COUNT($B$6:B93)</f>
        <v/>
      </c>
      <c r="I93" s="22">
        <f>IF(D93=1,C93+($C$2*30),C93+($C$3*30))</f>
        <v/>
      </c>
    </row>
    <row r="94">
      <c r="B94" s="25">
        <f>B93+1</f>
        <v/>
      </c>
      <c r="C94" s="22" t="n">
        <v>45170</v>
      </c>
      <c r="D94" s="2">
        <f>RANDBETWEEN(0,1)</f>
        <v/>
      </c>
      <c r="E94" s="2">
        <f>IF(D94=0,"PLACEBO","DRUG")</f>
        <v/>
      </c>
      <c r="F94" s="2">
        <f>SUM($D$6:D94)</f>
        <v/>
      </c>
      <c r="G94" s="2">
        <f>+H94-F94</f>
        <v/>
      </c>
      <c r="H94" s="2">
        <f>COUNT($B$6:B94)</f>
        <v/>
      </c>
      <c r="I94" s="22">
        <f>IF(D94=1,C94+($C$2*30),C94+($C$3*30))</f>
        <v/>
      </c>
    </row>
    <row r="95">
      <c r="B95" s="25">
        <f>B94+1</f>
        <v/>
      </c>
      <c r="C95" s="22" t="n">
        <v>45170</v>
      </c>
      <c r="D95" s="2">
        <f>RANDBETWEEN(0,1)</f>
        <v/>
      </c>
      <c r="E95" s="2">
        <f>IF(D95=0,"PLACEBO","DRUG")</f>
        <v/>
      </c>
      <c r="F95" s="2">
        <f>SUM($D$6:D95)</f>
        <v/>
      </c>
      <c r="G95" s="2">
        <f>+H95-F95</f>
        <v/>
      </c>
      <c r="H95" s="2">
        <f>COUNT($B$6:B95)</f>
        <v/>
      </c>
      <c r="I95" s="22">
        <f>IF(D95=1,C95+($C$2*30),C95+($C$3*30))</f>
        <v/>
      </c>
    </row>
    <row r="96">
      <c r="B96" s="25">
        <f>B95+1</f>
        <v/>
      </c>
      <c r="C96" s="22" t="n">
        <v>45170</v>
      </c>
      <c r="D96" s="2">
        <f>RANDBETWEEN(0,1)</f>
        <v/>
      </c>
      <c r="E96" s="2">
        <f>IF(D96=0,"PLACEBO","DRUG")</f>
        <v/>
      </c>
      <c r="F96" s="2">
        <f>SUM($D$6:D96)</f>
        <v/>
      </c>
      <c r="G96" s="2">
        <f>+H96-F96</f>
        <v/>
      </c>
      <c r="H96" s="2">
        <f>COUNT($B$6:B96)</f>
        <v/>
      </c>
      <c r="I96" s="22">
        <f>IF(D96=1,C96+($C$2*30),C96+($C$3*30))</f>
        <v/>
      </c>
    </row>
    <row r="97">
      <c r="B97" s="25">
        <f>B96+1</f>
        <v/>
      </c>
      <c r="C97" s="22" t="n">
        <v>45170</v>
      </c>
      <c r="D97" s="2">
        <f>RANDBETWEEN(0,1)</f>
        <v/>
      </c>
      <c r="E97" s="2">
        <f>IF(D97=0,"PLACEBO","DRUG")</f>
        <v/>
      </c>
      <c r="F97" s="2">
        <f>SUM($D$6:D97)</f>
        <v/>
      </c>
      <c r="G97" s="2">
        <f>+H97-F97</f>
        <v/>
      </c>
      <c r="H97" s="2">
        <f>COUNT($B$6:B97)</f>
        <v/>
      </c>
      <c r="I97" s="22">
        <f>IF(D97=1,C97+($C$2*30),C97+($C$3*30))</f>
        <v/>
      </c>
    </row>
    <row r="98">
      <c r="B98" s="25">
        <f>B97+1</f>
        <v/>
      </c>
      <c r="C98" s="22" t="n">
        <v>45170</v>
      </c>
      <c r="D98" s="2">
        <f>RANDBETWEEN(0,1)</f>
        <v/>
      </c>
      <c r="E98" s="2">
        <f>IF(D98=0,"PLACEBO","DRUG")</f>
        <v/>
      </c>
      <c r="F98" s="2">
        <f>SUM($D$6:D98)</f>
        <v/>
      </c>
      <c r="G98" s="2">
        <f>+H98-F98</f>
        <v/>
      </c>
      <c r="H98" s="2">
        <f>COUNT($B$6:B98)</f>
        <v/>
      </c>
      <c r="I98" s="22">
        <f>IF(D98=1,C98+($C$2*30),C98+($C$3*30))</f>
        <v/>
      </c>
    </row>
    <row r="99">
      <c r="B99" s="25">
        <f>B98+1</f>
        <v/>
      </c>
      <c r="C99" s="22" t="n">
        <v>45200</v>
      </c>
      <c r="D99" s="2">
        <f>RANDBETWEEN(0,1)</f>
        <v/>
      </c>
      <c r="E99" s="2">
        <f>IF(D99=0,"PLACEBO","DRUG")</f>
        <v/>
      </c>
      <c r="F99" s="2">
        <f>SUM($D$6:D99)</f>
        <v/>
      </c>
      <c r="G99" s="2">
        <f>+H99-F99</f>
        <v/>
      </c>
      <c r="H99" s="2">
        <f>COUNT($B$6:B99)</f>
        <v/>
      </c>
      <c r="I99" s="22">
        <f>IF(D99=1,C99+($C$2*30),C99+($C$3*30))</f>
        <v/>
      </c>
    </row>
    <row r="100">
      <c r="B100" s="25">
        <f>B99+1</f>
        <v/>
      </c>
      <c r="C100" s="22" t="n">
        <v>45200</v>
      </c>
      <c r="D100" s="2">
        <f>RANDBETWEEN(0,1)</f>
        <v/>
      </c>
      <c r="E100" s="2">
        <f>IF(D100=0,"PLACEBO","DRUG")</f>
        <v/>
      </c>
      <c r="F100" s="2">
        <f>SUM($D$6:D100)</f>
        <v/>
      </c>
      <c r="G100" s="2">
        <f>+H100-F100</f>
        <v/>
      </c>
      <c r="H100" s="2">
        <f>COUNT($B$6:B100)</f>
        <v/>
      </c>
      <c r="I100" s="22">
        <f>IF(D100=1,C100+($C$2*30),C100+($C$3*30))</f>
        <v/>
      </c>
    </row>
    <row r="101">
      <c r="B101" s="25">
        <f>B100+1</f>
        <v/>
      </c>
      <c r="C101" s="22" t="n">
        <v>45200</v>
      </c>
      <c r="D101" s="2">
        <f>RANDBETWEEN(0,1)</f>
        <v/>
      </c>
      <c r="E101" s="2">
        <f>IF(D101=0,"PLACEBO","DRUG")</f>
        <v/>
      </c>
      <c r="F101" s="2">
        <f>SUM($D$6:D101)</f>
        <v/>
      </c>
      <c r="G101" s="2">
        <f>+H101-F101</f>
        <v/>
      </c>
      <c r="H101" s="2">
        <f>COUNT($B$6:B101)</f>
        <v/>
      </c>
      <c r="I101" s="22">
        <f>IF(D101=1,C101+($C$2*30),C101+($C$3*30))</f>
        <v/>
      </c>
    </row>
    <row r="102">
      <c r="B102" s="25">
        <f>B101+1</f>
        <v/>
      </c>
      <c r="C102" s="22" t="n">
        <v>45200</v>
      </c>
      <c r="D102" s="2">
        <f>RANDBETWEEN(0,1)</f>
        <v/>
      </c>
      <c r="E102" s="2">
        <f>IF(D102=0,"PLACEBO","DRUG")</f>
        <v/>
      </c>
      <c r="F102" s="2">
        <f>SUM($D$6:D102)</f>
        <v/>
      </c>
      <c r="G102" s="2">
        <f>+H102-F102</f>
        <v/>
      </c>
      <c r="H102" s="2">
        <f>COUNT($B$6:B102)</f>
        <v/>
      </c>
      <c r="I102" s="22">
        <f>IF(D102=1,C102+($C$2*30),C102+($C$3*30))</f>
        <v/>
      </c>
    </row>
    <row r="103">
      <c r="B103" s="25">
        <f>B102+1</f>
        <v/>
      </c>
      <c r="C103" s="22" t="n">
        <v>45200</v>
      </c>
      <c r="D103" s="2">
        <f>RANDBETWEEN(0,1)</f>
        <v/>
      </c>
      <c r="E103" s="2">
        <f>IF(D103=0,"PLACEBO","DRUG")</f>
        <v/>
      </c>
      <c r="F103" s="2">
        <f>SUM($D$6:D103)</f>
        <v/>
      </c>
      <c r="G103" s="2">
        <f>+H103-F103</f>
        <v/>
      </c>
      <c r="H103" s="2">
        <f>COUNT($B$6:B103)</f>
        <v/>
      </c>
      <c r="I103" s="22">
        <f>IF(D103=1,C103+($C$2*30),C103+($C$3*30))</f>
        <v/>
      </c>
    </row>
    <row r="104">
      <c r="B104" s="25">
        <f>B103+1</f>
        <v/>
      </c>
      <c r="C104" s="22" t="n">
        <v>45231</v>
      </c>
      <c r="D104" s="2">
        <f>RANDBETWEEN(0,1)</f>
        <v/>
      </c>
      <c r="E104" s="2">
        <f>IF(D104=0,"PLACEBO","DRUG")</f>
        <v/>
      </c>
      <c r="F104" s="2">
        <f>SUM($D$6:D104)</f>
        <v/>
      </c>
      <c r="G104" s="2">
        <f>+H104-F104</f>
        <v/>
      </c>
      <c r="H104" s="2">
        <f>COUNT($B$6:B104)</f>
        <v/>
      </c>
      <c r="I104" s="22">
        <f>IF(D104=1,C104+($C$2*30),C104+($C$3*30))</f>
        <v/>
      </c>
    </row>
    <row r="105">
      <c r="B105" s="25">
        <f>B104+1</f>
        <v/>
      </c>
      <c r="C105" s="22" t="n">
        <v>45231</v>
      </c>
      <c r="D105" s="2">
        <f>RANDBETWEEN(0,1)</f>
        <v/>
      </c>
      <c r="E105" s="2">
        <f>IF(D105=0,"PLACEBO","DRUG")</f>
        <v/>
      </c>
      <c r="F105" s="2">
        <f>SUM($D$6:D105)</f>
        <v/>
      </c>
      <c r="G105" s="2">
        <f>+H105-F105</f>
        <v/>
      </c>
      <c r="H105" s="2">
        <f>COUNT($B$6:B105)</f>
        <v/>
      </c>
      <c r="I105" s="22">
        <f>IF(D105=1,C105+($C$2*30),C105+($C$3*30))</f>
        <v/>
      </c>
    </row>
    <row r="106">
      <c r="B106" s="25">
        <f>B105+1</f>
        <v/>
      </c>
      <c r="C106" s="22" t="n">
        <v>45231</v>
      </c>
      <c r="D106" s="2">
        <f>RANDBETWEEN(0,1)</f>
        <v/>
      </c>
      <c r="E106" s="2">
        <f>IF(D106=0,"PLACEBO","DRUG")</f>
        <v/>
      </c>
      <c r="F106" s="2">
        <f>SUM($D$6:D106)</f>
        <v/>
      </c>
      <c r="G106" s="2">
        <f>+H106-F106</f>
        <v/>
      </c>
      <c r="H106" s="2">
        <f>COUNT($B$6:B106)</f>
        <v/>
      </c>
      <c r="I106" s="22">
        <f>IF(D106=1,C106+($C$2*30),C106+($C$3*30))</f>
        <v/>
      </c>
    </row>
    <row r="107">
      <c r="B107" s="25">
        <f>B106+1</f>
        <v/>
      </c>
      <c r="C107" s="22" t="n">
        <v>45231</v>
      </c>
      <c r="D107" s="2">
        <f>RANDBETWEEN(0,1)</f>
        <v/>
      </c>
      <c r="E107" s="2">
        <f>IF(D107=0,"PLACEBO","DRUG")</f>
        <v/>
      </c>
      <c r="F107" s="2">
        <f>SUM($D$6:D107)</f>
        <v/>
      </c>
      <c r="G107" s="2">
        <f>+H107-F107</f>
        <v/>
      </c>
      <c r="H107" s="2">
        <f>COUNT($B$6:B107)</f>
        <v/>
      </c>
      <c r="I107" s="22">
        <f>IF(D107=1,C107+($C$2*30),C107+($C$3*30))</f>
        <v/>
      </c>
    </row>
    <row r="108">
      <c r="B108" s="25">
        <f>B107+1</f>
        <v/>
      </c>
      <c r="C108" s="22" t="n">
        <v>45231</v>
      </c>
      <c r="D108" s="2">
        <f>RANDBETWEEN(0,1)</f>
        <v/>
      </c>
      <c r="E108" s="2">
        <f>IF(D108=0,"PLACEBO","DRUG")</f>
        <v/>
      </c>
      <c r="F108" s="2">
        <f>SUM($D$6:D108)</f>
        <v/>
      </c>
      <c r="G108" s="2">
        <f>+H108-F108</f>
        <v/>
      </c>
      <c r="H108" s="2">
        <f>COUNT($B$6:B108)</f>
        <v/>
      </c>
      <c r="I108" s="22">
        <f>IF(D108=1,C108+($C$2*30),C108+($C$3*30))</f>
        <v/>
      </c>
    </row>
    <row r="109">
      <c r="B109" s="25">
        <f>B108+1</f>
        <v/>
      </c>
      <c r="C109" s="22" t="n">
        <v>45261</v>
      </c>
      <c r="D109" s="2">
        <f>RANDBETWEEN(0,1)</f>
        <v/>
      </c>
      <c r="E109" s="2">
        <f>IF(D109=0,"PLACEBO","DRUG")</f>
        <v/>
      </c>
      <c r="F109" s="2">
        <f>SUM($D$6:D109)</f>
        <v/>
      </c>
      <c r="G109" s="2">
        <f>+H109-F109</f>
        <v/>
      </c>
      <c r="H109" s="2">
        <f>COUNT($B$6:B109)</f>
        <v/>
      </c>
      <c r="I109" s="22">
        <f>IF(D109=1,C109+($C$2*30),C109+($C$3*30))</f>
        <v/>
      </c>
    </row>
    <row r="110">
      <c r="B110" s="25">
        <f>B109+1</f>
        <v/>
      </c>
      <c r="C110" s="22" t="n">
        <v>45261</v>
      </c>
      <c r="D110" s="2">
        <f>RANDBETWEEN(0,1)</f>
        <v/>
      </c>
      <c r="E110" s="2">
        <f>IF(D110=0,"PLACEBO","DRUG")</f>
        <v/>
      </c>
      <c r="F110" s="2">
        <f>SUM($D$6:D110)</f>
        <v/>
      </c>
      <c r="G110" s="2">
        <f>+H110-F110</f>
        <v/>
      </c>
      <c r="H110" s="2">
        <f>COUNT($B$6:B110)</f>
        <v/>
      </c>
      <c r="I110" s="22">
        <f>IF(D110=1,C110+($C$2*30),C110+($C$3*30))</f>
        <v/>
      </c>
    </row>
    <row r="111">
      <c r="B111" s="25">
        <f>B110+1</f>
        <v/>
      </c>
      <c r="C111" s="22" t="n">
        <v>45261</v>
      </c>
      <c r="D111" s="2">
        <f>RANDBETWEEN(0,1)</f>
        <v/>
      </c>
      <c r="E111" s="2">
        <f>IF(D111=0,"PLACEBO","DRUG")</f>
        <v/>
      </c>
      <c r="F111" s="2">
        <f>SUM($D$6:D111)</f>
        <v/>
      </c>
      <c r="G111" s="2">
        <f>+H111-F111</f>
        <v/>
      </c>
      <c r="H111" s="2">
        <f>COUNT($B$6:B111)</f>
        <v/>
      </c>
      <c r="I111" s="22">
        <f>IF(D111=1,C111+($C$2*30),C111+($C$3*30))</f>
        <v/>
      </c>
    </row>
    <row r="112">
      <c r="B112" s="25">
        <f>B111+1</f>
        <v/>
      </c>
      <c r="C112" s="22" t="n">
        <v>45261</v>
      </c>
      <c r="D112" s="2">
        <f>RANDBETWEEN(0,1)</f>
        <v/>
      </c>
      <c r="E112" s="2">
        <f>IF(D112=0,"PLACEBO","DRUG")</f>
        <v/>
      </c>
      <c r="F112" s="2">
        <f>SUM($D$6:D112)</f>
        <v/>
      </c>
      <c r="G112" s="2">
        <f>+H112-F112</f>
        <v/>
      </c>
      <c r="H112" s="2">
        <f>COUNT($B$6:B112)</f>
        <v/>
      </c>
      <c r="I112" s="22">
        <f>IF(D112=1,C112+($C$2*30),C112+($C$3*30))</f>
        <v/>
      </c>
    </row>
    <row r="113">
      <c r="B113" s="25">
        <f>B112+1</f>
        <v/>
      </c>
      <c r="C113" s="22" t="n">
        <v>45261</v>
      </c>
      <c r="D113" s="2">
        <f>RANDBETWEEN(0,1)</f>
        <v/>
      </c>
      <c r="E113" s="2">
        <f>IF(D113=0,"PLACEBO","DRUG")</f>
        <v/>
      </c>
      <c r="F113" s="2">
        <f>SUM($D$6:D113)</f>
        <v/>
      </c>
      <c r="G113" s="2">
        <f>+H113-F113</f>
        <v/>
      </c>
      <c r="H113" s="2">
        <f>COUNT($B$6:B113)</f>
        <v/>
      </c>
      <c r="I113" s="22">
        <f>IF(D113=1,C113+($C$2*30),C113+($C$3*30))</f>
        <v/>
      </c>
    </row>
    <row r="114">
      <c r="B114" s="25">
        <f>B113+1</f>
        <v/>
      </c>
      <c r="C114" s="22" t="n">
        <v>45292</v>
      </c>
      <c r="D114" s="2">
        <f>RANDBETWEEN(0,1)</f>
        <v/>
      </c>
      <c r="E114" s="2">
        <f>IF(D114=0,"PLACEBO","DRUG")</f>
        <v/>
      </c>
      <c r="F114" s="2">
        <f>SUM($D$6:D114)</f>
        <v/>
      </c>
      <c r="G114" s="2">
        <f>+H114-F114</f>
        <v/>
      </c>
      <c r="H114" s="2">
        <f>COUNT($B$6:B114)</f>
        <v/>
      </c>
      <c r="I114" s="22">
        <f>IF(D114=1,C114+($C$2*30),C114+($C$3*30))</f>
        <v/>
      </c>
    </row>
    <row r="115">
      <c r="B115" s="25">
        <f>B114+1</f>
        <v/>
      </c>
      <c r="C115" s="22" t="n">
        <v>45292</v>
      </c>
      <c r="D115" s="2">
        <f>RANDBETWEEN(0,1)</f>
        <v/>
      </c>
      <c r="E115" s="2">
        <f>IF(D115=0,"PLACEBO","DRUG")</f>
        <v/>
      </c>
      <c r="F115" s="2">
        <f>SUM($D$6:D115)</f>
        <v/>
      </c>
      <c r="G115" s="2">
        <f>+H115-F115</f>
        <v/>
      </c>
      <c r="H115" s="2">
        <f>COUNT($B$6:B115)</f>
        <v/>
      </c>
      <c r="I115" s="22">
        <f>IF(D115=1,C115+($C$2*30),C115+($C$3*30))</f>
        <v/>
      </c>
    </row>
    <row r="116">
      <c r="B116" s="25">
        <f>B115+1</f>
        <v/>
      </c>
      <c r="C116" s="22" t="n">
        <v>45292</v>
      </c>
      <c r="D116" s="2">
        <f>RANDBETWEEN(0,1)</f>
        <v/>
      </c>
      <c r="E116" s="2">
        <f>IF(D116=0,"PLACEBO","DRUG")</f>
        <v/>
      </c>
      <c r="F116" s="2">
        <f>SUM($D$6:D116)</f>
        <v/>
      </c>
      <c r="G116" s="2">
        <f>+H116-F116</f>
        <v/>
      </c>
      <c r="H116" s="2">
        <f>COUNT($B$6:B116)</f>
        <v/>
      </c>
      <c r="I116" s="22">
        <f>IF(D116=1,C116+($C$2*30),C116+($C$3*30))</f>
        <v/>
      </c>
    </row>
    <row r="117">
      <c r="B117" s="25">
        <f>B116+1</f>
        <v/>
      </c>
      <c r="C117" s="22" t="n">
        <v>45292</v>
      </c>
      <c r="D117" s="2">
        <f>RANDBETWEEN(0,1)</f>
        <v/>
      </c>
      <c r="E117" s="2">
        <f>IF(D117=0,"PLACEBO","DRUG")</f>
        <v/>
      </c>
      <c r="F117" s="2">
        <f>SUM($D$6:D117)</f>
        <v/>
      </c>
      <c r="G117" s="2">
        <f>+H117-F117</f>
        <v/>
      </c>
      <c r="H117" s="2">
        <f>COUNT($B$6:B117)</f>
        <v/>
      </c>
      <c r="I117" s="22">
        <f>IF(D117=1,C117+($C$2*30),C117+($C$3*30))</f>
        <v/>
      </c>
    </row>
    <row r="118">
      <c r="B118" s="25">
        <f>B117+1</f>
        <v/>
      </c>
      <c r="C118" s="22" t="n">
        <v>45292</v>
      </c>
      <c r="D118" s="2">
        <f>RANDBETWEEN(0,1)</f>
        <v/>
      </c>
      <c r="E118" s="2">
        <f>IF(D118=0,"PLACEBO","DRUG")</f>
        <v/>
      </c>
      <c r="F118" s="2">
        <f>SUM($D$6:D118)</f>
        <v/>
      </c>
      <c r="G118" s="2">
        <f>+H118-F118</f>
        <v/>
      </c>
      <c r="H118" s="2">
        <f>COUNT($B$6:B118)</f>
        <v/>
      </c>
      <c r="I118" s="22">
        <f>IF(D118=1,C118+($C$2*30),C118+($C$3*30))</f>
        <v/>
      </c>
    </row>
    <row r="119">
      <c r="B119" s="25">
        <f>B118+1</f>
        <v/>
      </c>
      <c r="C119" s="22" t="n">
        <v>45323</v>
      </c>
      <c r="D119" s="2">
        <f>RANDBETWEEN(0,1)</f>
        <v/>
      </c>
      <c r="E119" s="2">
        <f>IF(D119=0,"PLACEBO","DRUG")</f>
        <v/>
      </c>
      <c r="F119" s="2">
        <f>SUM($D$6:D119)</f>
        <v/>
      </c>
      <c r="G119" s="2">
        <f>+H119-F119</f>
        <v/>
      </c>
      <c r="H119" s="2">
        <f>COUNT($B$6:B119)</f>
        <v/>
      </c>
      <c r="I119" s="22">
        <f>IF(D119=1,C119+($C$2*30),C119+($C$3*30))</f>
        <v/>
      </c>
    </row>
    <row r="120">
      <c r="B120" s="25">
        <f>B119+1</f>
        <v/>
      </c>
      <c r="C120" s="22" t="n">
        <v>45323</v>
      </c>
      <c r="D120" s="2">
        <f>RANDBETWEEN(0,1)</f>
        <v/>
      </c>
      <c r="E120" s="2">
        <f>IF(D120=0,"PLACEBO","DRUG")</f>
        <v/>
      </c>
      <c r="F120" s="2">
        <f>SUM($D$6:D120)</f>
        <v/>
      </c>
      <c r="G120" s="2">
        <f>+H120-F120</f>
        <v/>
      </c>
      <c r="H120" s="2">
        <f>COUNT($B$6:B120)</f>
        <v/>
      </c>
      <c r="I120" s="22">
        <f>IF(D120=1,C120+($C$2*30),C120+($C$3*30))</f>
        <v/>
      </c>
    </row>
    <row r="121">
      <c r="B121" s="25">
        <f>B120+1</f>
        <v/>
      </c>
      <c r="C121" s="22" t="n">
        <v>45323</v>
      </c>
      <c r="D121" s="2">
        <f>RANDBETWEEN(0,1)</f>
        <v/>
      </c>
      <c r="E121" s="2">
        <f>IF(D121=0,"PLACEBO","DRUG")</f>
        <v/>
      </c>
      <c r="F121" s="2">
        <f>SUM($D$6:D121)</f>
        <v/>
      </c>
      <c r="G121" s="2">
        <f>+H121-F121</f>
        <v/>
      </c>
      <c r="H121" s="2">
        <f>COUNT($B$6:B121)</f>
        <v/>
      </c>
      <c r="I121" s="22">
        <f>IF(D121=1,C121+($C$2*30),C121+($C$3*30))</f>
        <v/>
      </c>
    </row>
    <row r="122">
      <c r="B122" s="25">
        <f>B121+1</f>
        <v/>
      </c>
      <c r="C122" s="22" t="n">
        <v>45323</v>
      </c>
      <c r="D122" s="2">
        <f>RANDBETWEEN(0,1)</f>
        <v/>
      </c>
      <c r="E122" s="2">
        <f>IF(D122=0,"PLACEBO","DRUG")</f>
        <v/>
      </c>
      <c r="F122" s="2">
        <f>SUM($D$6:D122)</f>
        <v/>
      </c>
      <c r="G122" s="2">
        <f>+H122-F122</f>
        <v/>
      </c>
      <c r="H122" s="2">
        <f>COUNT($B$6:B122)</f>
        <v/>
      </c>
      <c r="I122" s="22">
        <f>IF(D122=1,C122+($C$2*30),C122+($C$3*30))</f>
        <v/>
      </c>
    </row>
    <row r="123">
      <c r="B123" s="25">
        <f>B122+1</f>
        <v/>
      </c>
      <c r="C123" s="22" t="n">
        <v>45323</v>
      </c>
      <c r="D123" s="2">
        <f>RANDBETWEEN(0,1)</f>
        <v/>
      </c>
      <c r="E123" s="2">
        <f>IF(D123=0,"PLACEBO","DRUG")</f>
        <v/>
      </c>
      <c r="F123" s="2">
        <f>SUM($D$6:D123)</f>
        <v/>
      </c>
      <c r="G123" s="2">
        <f>+H123-F123</f>
        <v/>
      </c>
      <c r="H123" s="2">
        <f>COUNT($B$6:B123)</f>
        <v/>
      </c>
      <c r="I123" s="22">
        <f>IF(D123=1,C123+($C$2*30),C123+($C$3*30))</f>
        <v/>
      </c>
    </row>
    <row r="124">
      <c r="B124" s="25">
        <f>B123+1</f>
        <v/>
      </c>
      <c r="C124" s="22" t="n">
        <v>45352</v>
      </c>
      <c r="D124" s="2">
        <f>RANDBETWEEN(0,1)</f>
        <v/>
      </c>
      <c r="E124" s="2">
        <f>IF(D124=0,"PLACEBO","DRUG")</f>
        <v/>
      </c>
      <c r="F124" s="2">
        <f>SUM($D$6:D124)</f>
        <v/>
      </c>
      <c r="G124" s="2">
        <f>+H124-F124</f>
        <v/>
      </c>
      <c r="H124" s="2">
        <f>COUNT($B$6:B124)</f>
        <v/>
      </c>
      <c r="I124" s="22">
        <f>IF(D124=1,C124+($C$2*30),C124+($C$3*30))</f>
        <v/>
      </c>
    </row>
    <row r="125">
      <c r="B125" s="25">
        <f>B124+1</f>
        <v/>
      </c>
      <c r="C125" s="22" t="n">
        <v>45352</v>
      </c>
      <c r="D125" s="2">
        <f>RANDBETWEEN(0,1)</f>
        <v/>
      </c>
      <c r="E125" s="2">
        <f>IF(D125=0,"PLACEBO","DRUG")</f>
        <v/>
      </c>
      <c r="F125" s="2">
        <f>SUM($D$6:D125)</f>
        <v/>
      </c>
      <c r="G125" s="2">
        <f>+H125-F125</f>
        <v/>
      </c>
      <c r="H125" s="2">
        <f>COUNT($B$6:B125)</f>
        <v/>
      </c>
      <c r="I125" s="22">
        <f>IF(D125=1,C125+($C$2*30),C125+($C$3*30))</f>
        <v/>
      </c>
    </row>
    <row r="126">
      <c r="B126" s="25">
        <f>B125+1</f>
        <v/>
      </c>
      <c r="C126" s="22" t="n">
        <v>45352</v>
      </c>
      <c r="D126" s="2">
        <f>RANDBETWEEN(0,1)</f>
        <v/>
      </c>
      <c r="E126" s="2">
        <f>IF(D126=0,"PLACEBO","DRUG")</f>
        <v/>
      </c>
      <c r="F126" s="2">
        <f>SUM($D$6:D126)</f>
        <v/>
      </c>
      <c r="G126" s="2">
        <f>+H126-F126</f>
        <v/>
      </c>
      <c r="H126" s="2">
        <f>COUNT($B$6:B126)</f>
        <v/>
      </c>
      <c r="I126" s="22">
        <f>IF(D126=1,C126+($C$2*30),C126+($C$3*30))</f>
        <v/>
      </c>
    </row>
    <row r="127">
      <c r="B127" s="25">
        <f>B126+1</f>
        <v/>
      </c>
      <c r="C127" s="22" t="n">
        <v>45352</v>
      </c>
      <c r="D127" s="2">
        <f>RANDBETWEEN(0,1)</f>
        <v/>
      </c>
      <c r="E127" s="2">
        <f>IF(D127=0,"PLACEBO","DRUG")</f>
        <v/>
      </c>
      <c r="F127" s="2">
        <f>SUM($D$6:D127)</f>
        <v/>
      </c>
      <c r="G127" s="2">
        <f>+H127-F127</f>
        <v/>
      </c>
      <c r="H127" s="2">
        <f>COUNT($B$6:B127)</f>
        <v/>
      </c>
      <c r="I127" s="22">
        <f>IF(D127=1,C127+($C$2*30),C127+($C$3*30))</f>
        <v/>
      </c>
    </row>
    <row r="128">
      <c r="B128" s="25">
        <f>B127+1</f>
        <v/>
      </c>
      <c r="C128" s="22" t="n">
        <v>45352</v>
      </c>
      <c r="D128" s="2">
        <f>RANDBETWEEN(0,1)</f>
        <v/>
      </c>
      <c r="E128" s="2">
        <f>IF(D128=0,"PLACEBO","DRUG")</f>
        <v/>
      </c>
      <c r="F128" s="2">
        <f>SUM($D$6:D128)</f>
        <v/>
      </c>
      <c r="G128" s="2">
        <f>+H128-F128</f>
        <v/>
      </c>
      <c r="H128" s="2">
        <f>COUNT($B$6:B128)</f>
        <v/>
      </c>
      <c r="I128" s="22">
        <f>IF(D128=1,C128+($C$2*30),C128+($C$3*30))</f>
        <v/>
      </c>
    </row>
    <row r="129">
      <c r="B129" s="25">
        <f>B128+1</f>
        <v/>
      </c>
      <c r="C129" s="22" t="n">
        <v>45383</v>
      </c>
      <c r="D129" s="2">
        <f>RANDBETWEEN(0,1)</f>
        <v/>
      </c>
      <c r="E129" s="2">
        <f>IF(D129=0,"PLACEBO","DRUG")</f>
        <v/>
      </c>
      <c r="F129" s="2">
        <f>SUM($D$6:D129)</f>
        <v/>
      </c>
      <c r="G129" s="2">
        <f>+H129-F129</f>
        <v/>
      </c>
      <c r="H129" s="2">
        <f>COUNT($B$6:B129)</f>
        <v/>
      </c>
      <c r="I129" s="22">
        <f>IF(D129=1,C129+($C$2*30),C129+($C$3*30))</f>
        <v/>
      </c>
    </row>
    <row r="130">
      <c r="B130" s="25">
        <f>B129+1</f>
        <v/>
      </c>
      <c r="C130" s="22" t="n">
        <v>45383</v>
      </c>
      <c r="D130" s="2">
        <f>RANDBETWEEN(0,1)</f>
        <v/>
      </c>
      <c r="E130" s="2">
        <f>IF(D130=0,"PLACEBO","DRUG")</f>
        <v/>
      </c>
      <c r="F130" s="2">
        <f>SUM($D$6:D130)</f>
        <v/>
      </c>
      <c r="G130" s="2">
        <f>+H130-F130</f>
        <v/>
      </c>
      <c r="H130" s="2">
        <f>COUNT($B$6:B130)</f>
        <v/>
      </c>
      <c r="I130" s="22">
        <f>IF(D130=1,C130+($C$2*30),C130+($C$3*30))</f>
        <v/>
      </c>
    </row>
    <row r="131">
      <c r="B131" s="25">
        <f>B130+1</f>
        <v/>
      </c>
      <c r="C131" s="22" t="n">
        <v>45383</v>
      </c>
      <c r="D131" s="2">
        <f>RANDBETWEEN(0,1)</f>
        <v/>
      </c>
      <c r="E131" s="2">
        <f>IF(D131=0,"PLACEBO","DRUG")</f>
        <v/>
      </c>
      <c r="F131" s="2">
        <f>SUM($D$6:D131)</f>
        <v/>
      </c>
      <c r="G131" s="2">
        <f>+H131-F131</f>
        <v/>
      </c>
      <c r="H131" s="2">
        <f>COUNT($B$6:B131)</f>
        <v/>
      </c>
      <c r="I131" s="22">
        <f>IF(D131=1,C131+($C$2*30),C131+($C$3*30))</f>
        <v/>
      </c>
    </row>
    <row r="132">
      <c r="B132" s="25">
        <f>B131+1</f>
        <v/>
      </c>
      <c r="C132" s="22" t="n">
        <v>45383</v>
      </c>
      <c r="D132" s="2">
        <f>RANDBETWEEN(0,1)</f>
        <v/>
      </c>
      <c r="E132" s="2">
        <f>IF(D132=0,"PLACEBO","DRUG")</f>
        <v/>
      </c>
      <c r="F132" s="2">
        <f>SUM($D$6:D132)</f>
        <v/>
      </c>
      <c r="G132" s="2">
        <f>+H132-F132</f>
        <v/>
      </c>
      <c r="H132" s="2">
        <f>COUNT($B$6:B132)</f>
        <v/>
      </c>
      <c r="I132" s="22">
        <f>IF(D132=1,C132+($C$2*30),C132+($C$3*30))</f>
        <v/>
      </c>
    </row>
  </sheetData>
  <mergeCells count="1">
    <mergeCell ref="J4:K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152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8" defaultRowHeight="12.5"/>
  <cols>
    <col width="8.90625" bestFit="1" customWidth="1" min="3" max="3"/>
    <col width="0.6328125" customWidth="1" min="4" max="4"/>
    <col width="8.7265625" customWidth="1" style="2" min="6" max="8"/>
    <col width="9.90625" bestFit="1" customWidth="1" style="2" min="9" max="9"/>
    <col width="8.7265625" customWidth="1" style="32" min="10" max="12"/>
  </cols>
  <sheetData>
    <row r="2">
      <c r="B2" t="inlineStr">
        <is>
          <t>median OS</t>
        </is>
      </c>
      <c r="C2" t="n">
        <v>18</v>
      </c>
      <c r="E2" t="inlineStr">
        <is>
          <t>Drug</t>
        </is>
      </c>
    </row>
    <row r="3">
      <c r="B3" t="inlineStr">
        <is>
          <t>median OS</t>
        </is>
      </c>
      <c r="C3" t="n">
        <v>18</v>
      </c>
      <c r="E3" t="inlineStr">
        <is>
          <t>BAT</t>
        </is>
      </c>
    </row>
    <row r="4">
      <c r="J4" s="32" t="inlineStr">
        <is>
          <t>Deaths</t>
        </is>
      </c>
    </row>
    <row r="5">
      <c r="B5" t="inlineStr">
        <is>
          <t>Patient</t>
        </is>
      </c>
      <c r="C5" t="inlineStr">
        <is>
          <t>Date Enrolled</t>
        </is>
      </c>
      <c r="D5" t="inlineStr">
        <is>
          <t>Random</t>
        </is>
      </c>
      <c r="E5" t="inlineStr">
        <is>
          <t>Assignment</t>
        </is>
      </c>
      <c r="F5" s="2" t="inlineStr">
        <is>
          <t>Drug</t>
        </is>
      </c>
      <c r="G5" s="2" t="inlineStr">
        <is>
          <t>Placebo</t>
        </is>
      </c>
      <c r="H5" s="2" t="inlineStr">
        <is>
          <t>Total</t>
        </is>
      </c>
      <c r="I5" s="2" t="inlineStr">
        <is>
          <t>Died</t>
        </is>
      </c>
      <c r="J5" s="32" t="inlineStr">
        <is>
          <t>Drug</t>
        </is>
      </c>
      <c r="K5" s="32" t="inlineStr">
        <is>
          <t>PBO</t>
        </is>
      </c>
      <c r="L5" s="32" t="inlineStr">
        <is>
          <t>Total</t>
        </is>
      </c>
    </row>
    <row r="6" ht="13" customFormat="1" customHeight="1" s="14">
      <c r="B6" s="14" t="n">
        <v>1</v>
      </c>
      <c r="C6" s="27" t="n">
        <v>44197</v>
      </c>
      <c r="D6" s="14" t="n">
        <v>1</v>
      </c>
      <c r="E6" s="14" t="inlineStr">
        <is>
          <t>DRUG</t>
        </is>
      </c>
      <c r="F6" s="28" t="n">
        <v>1</v>
      </c>
      <c r="G6" s="28" t="n">
        <v>0</v>
      </c>
      <c r="H6" s="28" t="n">
        <v>1</v>
      </c>
      <c r="I6" s="30" t="n">
        <v>44737</v>
      </c>
      <c r="J6" s="29" t="n">
        <v>0</v>
      </c>
      <c r="K6" s="29" t="n">
        <v>0</v>
      </c>
      <c r="L6" s="29">
        <f>+K6+J6</f>
        <v/>
      </c>
    </row>
    <row r="7" ht="13" customFormat="1" customHeight="1" s="14">
      <c r="B7" s="14" t="n">
        <v>2</v>
      </c>
      <c r="C7" s="27" t="n">
        <v>44228</v>
      </c>
      <c r="D7" s="14" t="n">
        <v>1</v>
      </c>
      <c r="E7" s="14" t="inlineStr">
        <is>
          <t>DRUG</t>
        </is>
      </c>
      <c r="F7" s="28" t="n">
        <v>2</v>
      </c>
      <c r="G7" s="28" t="n">
        <v>0</v>
      </c>
      <c r="H7" s="28" t="n">
        <v>2</v>
      </c>
      <c r="I7" s="30" t="n">
        <v>44768</v>
      </c>
      <c r="J7" s="29" t="n">
        <v>0</v>
      </c>
      <c r="K7" s="29" t="n">
        <v>0</v>
      </c>
      <c r="L7" s="29">
        <f>+K7+J7</f>
        <v/>
      </c>
    </row>
    <row r="8" ht="13" customFormat="1" customHeight="1" s="14">
      <c r="B8" s="14" t="n">
        <v>3</v>
      </c>
      <c r="C8" s="27" t="n">
        <v>44256</v>
      </c>
      <c r="D8" s="14" t="n">
        <v>0</v>
      </c>
      <c r="E8" s="14" t="inlineStr">
        <is>
          <t>PLACEBO</t>
        </is>
      </c>
      <c r="F8" s="28" t="n">
        <v>2</v>
      </c>
      <c r="G8" s="28" t="n">
        <v>1</v>
      </c>
      <c r="H8" s="28" t="n">
        <v>3</v>
      </c>
      <c r="I8" s="30" t="n">
        <v>44796</v>
      </c>
      <c r="J8" s="29" t="n">
        <v>0</v>
      </c>
      <c r="K8" s="29" t="n">
        <v>0</v>
      </c>
      <c r="L8" s="29">
        <f>+K8+J8</f>
        <v/>
      </c>
    </row>
    <row r="9" ht="13" customFormat="1" customHeight="1" s="14">
      <c r="B9" s="14" t="n">
        <v>4</v>
      </c>
      <c r="C9" s="27" t="n">
        <v>44287</v>
      </c>
      <c r="D9" s="14" t="n">
        <v>1</v>
      </c>
      <c r="E9" s="14" t="inlineStr">
        <is>
          <t>DRUG</t>
        </is>
      </c>
      <c r="F9" s="28" t="n">
        <v>3</v>
      </c>
      <c r="G9" s="28" t="n">
        <v>1</v>
      </c>
      <c r="H9" s="28" t="n">
        <v>4</v>
      </c>
      <c r="I9" s="30" t="n">
        <v>44827</v>
      </c>
      <c r="J9" s="29" t="n">
        <v>0</v>
      </c>
      <c r="K9" s="29" t="n">
        <v>0</v>
      </c>
      <c r="L9" s="29">
        <f>+K9+J9</f>
        <v/>
      </c>
    </row>
    <row r="10" ht="13" customFormat="1" customHeight="1" s="14">
      <c r="B10" s="14" t="n">
        <v>5</v>
      </c>
      <c r="C10" s="27" t="n">
        <v>44317</v>
      </c>
      <c r="D10" s="14" t="n">
        <v>1</v>
      </c>
      <c r="E10" s="14" t="inlineStr">
        <is>
          <t>DRUG</t>
        </is>
      </c>
      <c r="F10" s="28" t="n">
        <v>4</v>
      </c>
      <c r="G10" s="28" t="n">
        <v>1</v>
      </c>
      <c r="H10" s="28" t="n">
        <v>5</v>
      </c>
      <c r="I10" s="30" t="n">
        <v>44857</v>
      </c>
      <c r="J10" s="29" t="n">
        <v>0</v>
      </c>
      <c r="K10" s="29" t="n">
        <v>0</v>
      </c>
      <c r="L10" s="29">
        <f>+K10+J10</f>
        <v/>
      </c>
    </row>
    <row r="11" ht="13" customFormat="1" customHeight="1" s="14">
      <c r="B11" s="14" t="n">
        <v>6</v>
      </c>
      <c r="C11" s="27" t="n">
        <v>44348</v>
      </c>
      <c r="D11" s="14" t="n">
        <v>0</v>
      </c>
      <c r="E11" s="14" t="inlineStr">
        <is>
          <t>PLACEBO</t>
        </is>
      </c>
      <c r="F11" s="28" t="n">
        <v>4</v>
      </c>
      <c r="G11" s="28" t="n">
        <v>2</v>
      </c>
      <c r="H11" s="28" t="n">
        <v>6</v>
      </c>
      <c r="I11" s="30" t="n">
        <v>44888</v>
      </c>
      <c r="J11" s="29" t="n">
        <v>0</v>
      </c>
      <c r="K11" s="29" t="n">
        <v>0</v>
      </c>
      <c r="L11" s="29">
        <f>+K11+J11</f>
        <v/>
      </c>
    </row>
    <row r="12" ht="13" customFormat="1" customHeight="1" s="14">
      <c r="B12" s="14" t="n">
        <v>7</v>
      </c>
      <c r="C12" s="27" t="n">
        <v>44378</v>
      </c>
      <c r="D12" s="14" t="n">
        <v>1</v>
      </c>
      <c r="E12" s="14" t="inlineStr">
        <is>
          <t>DRUG</t>
        </is>
      </c>
      <c r="F12" s="28" t="n">
        <v>5</v>
      </c>
      <c r="G12" s="28" t="n">
        <v>2</v>
      </c>
      <c r="H12" s="28" t="n">
        <v>7</v>
      </c>
      <c r="I12" s="30" t="n">
        <v>44918</v>
      </c>
      <c r="J12" s="29" t="n">
        <v>0</v>
      </c>
      <c r="K12" s="29" t="n">
        <v>0</v>
      </c>
      <c r="L12" s="29">
        <f>+K12+J12</f>
        <v/>
      </c>
    </row>
    <row r="13" ht="13" customFormat="1" customHeight="1" s="14">
      <c r="B13" s="14" t="n">
        <v>8</v>
      </c>
      <c r="C13" s="27" t="n">
        <v>44409</v>
      </c>
      <c r="D13" s="14" t="n">
        <v>1</v>
      </c>
      <c r="E13" s="14" t="inlineStr">
        <is>
          <t>DRUG</t>
        </is>
      </c>
      <c r="F13" s="28" t="n">
        <v>6</v>
      </c>
      <c r="G13" s="28" t="n">
        <v>2</v>
      </c>
      <c r="H13" s="28" t="n">
        <v>8</v>
      </c>
      <c r="I13" s="30" t="n">
        <v>44949</v>
      </c>
      <c r="J13" s="29" t="n">
        <v>0</v>
      </c>
      <c r="K13" s="29" t="n">
        <v>0</v>
      </c>
      <c r="L13" s="29">
        <f>+K13+J13</f>
        <v/>
      </c>
    </row>
    <row r="14" ht="13" customFormat="1" customHeight="1" s="14">
      <c r="B14" s="14" t="n">
        <v>9</v>
      </c>
      <c r="C14" s="27" t="n">
        <v>44440</v>
      </c>
      <c r="D14" s="14" t="n">
        <v>1</v>
      </c>
      <c r="E14" s="14" t="inlineStr">
        <is>
          <t>DRUG</t>
        </is>
      </c>
      <c r="F14" s="28" t="n">
        <v>7</v>
      </c>
      <c r="G14" s="28" t="n">
        <v>2</v>
      </c>
      <c r="H14" s="28" t="n">
        <v>9</v>
      </c>
      <c r="I14" s="30" t="n">
        <v>44980</v>
      </c>
      <c r="J14" s="29" t="n">
        <v>0</v>
      </c>
      <c r="K14" s="29" t="n">
        <v>0</v>
      </c>
      <c r="L14" s="29">
        <f>+K14+J14</f>
        <v/>
      </c>
    </row>
    <row r="15" ht="13" customFormat="1" customHeight="1" s="14">
      <c r="B15" s="14" t="n">
        <v>10</v>
      </c>
      <c r="C15" s="27" t="n">
        <v>44470</v>
      </c>
      <c r="D15" s="14" t="n">
        <v>0</v>
      </c>
      <c r="E15" s="14" t="inlineStr">
        <is>
          <t>PLACEBO</t>
        </is>
      </c>
      <c r="F15" s="28" t="n">
        <v>7</v>
      </c>
      <c r="G15" s="28" t="n">
        <v>3</v>
      </c>
      <c r="H15" s="28" t="n">
        <v>10</v>
      </c>
      <c r="I15" s="30" t="n">
        <v>45010</v>
      </c>
      <c r="J15" s="29" t="n">
        <v>0</v>
      </c>
      <c r="K15" s="29" t="n">
        <v>0</v>
      </c>
      <c r="L15" s="29">
        <f>+K15+J15</f>
        <v/>
      </c>
    </row>
    <row r="16" ht="13" customFormat="1" customHeight="1" s="14">
      <c r="B16" s="14" t="n">
        <v>11</v>
      </c>
      <c r="C16" s="27" t="n">
        <v>44501</v>
      </c>
      <c r="D16" s="14" t="n">
        <v>0</v>
      </c>
      <c r="E16" s="14" t="inlineStr">
        <is>
          <t>PLACEBO</t>
        </is>
      </c>
      <c r="F16" s="28" t="n">
        <v>7</v>
      </c>
      <c r="G16" s="28" t="n">
        <v>4</v>
      </c>
      <c r="H16" s="28" t="n">
        <v>11</v>
      </c>
      <c r="I16" s="30" t="n">
        <v>45041</v>
      </c>
      <c r="J16" s="29" t="n">
        <v>0</v>
      </c>
      <c r="K16" s="29" t="n">
        <v>0</v>
      </c>
      <c r="L16" s="29">
        <f>+K16+J16</f>
        <v/>
      </c>
    </row>
    <row r="17" ht="13" customFormat="1" customHeight="1" s="14">
      <c r="B17" s="14" t="n">
        <v>12</v>
      </c>
      <c r="C17" s="27" t="n">
        <v>44531</v>
      </c>
      <c r="D17" s="14" t="n">
        <v>0</v>
      </c>
      <c r="E17" s="14" t="inlineStr">
        <is>
          <t>PLACEBO</t>
        </is>
      </c>
      <c r="F17" s="28" t="n">
        <v>7</v>
      </c>
      <c r="G17" s="28" t="n">
        <v>5</v>
      </c>
      <c r="H17" s="28" t="n">
        <v>12</v>
      </c>
      <c r="I17" s="30" t="n">
        <v>45071</v>
      </c>
      <c r="J17" s="29" t="n">
        <v>0</v>
      </c>
      <c r="K17" s="29" t="n">
        <v>0</v>
      </c>
      <c r="L17" s="29">
        <f>+K17+J17</f>
        <v/>
      </c>
    </row>
    <row r="18" ht="13" customFormat="1" customHeight="1" s="14">
      <c r="B18" s="14" t="n">
        <v>13</v>
      </c>
      <c r="C18" s="27" t="n">
        <v>44562</v>
      </c>
      <c r="D18" s="14" t="n">
        <v>1</v>
      </c>
      <c r="E18" s="14" t="inlineStr">
        <is>
          <t>DRUG</t>
        </is>
      </c>
      <c r="F18" s="28" t="n">
        <v>8</v>
      </c>
      <c r="G18" s="28" t="n">
        <v>5</v>
      </c>
      <c r="H18" s="28" t="n">
        <v>13</v>
      </c>
      <c r="I18" s="30" t="n">
        <v>45102</v>
      </c>
      <c r="J18" s="29" t="n">
        <v>0</v>
      </c>
      <c r="K18" s="29" t="n">
        <v>0</v>
      </c>
      <c r="L18" s="29">
        <f>+K18+J18</f>
        <v/>
      </c>
    </row>
    <row r="19" ht="13" customFormat="1" customHeight="1" s="14">
      <c r="B19" s="14" t="n">
        <v>14</v>
      </c>
      <c r="C19" s="27" t="n">
        <v>44593</v>
      </c>
      <c r="D19" s="14" t="n">
        <v>0</v>
      </c>
      <c r="E19" s="14" t="inlineStr">
        <is>
          <t>PLACEBO</t>
        </is>
      </c>
      <c r="F19" s="28" t="n">
        <v>8</v>
      </c>
      <c r="G19" s="28" t="n">
        <v>6</v>
      </c>
      <c r="H19" s="28" t="n">
        <v>14</v>
      </c>
      <c r="I19" s="30" t="n">
        <v>45133</v>
      </c>
      <c r="J19" s="29" t="n">
        <v>0</v>
      </c>
      <c r="K19" s="29" t="n">
        <v>0</v>
      </c>
      <c r="L19" s="29">
        <f>+K19+J19</f>
        <v/>
      </c>
    </row>
    <row r="20" ht="13" customFormat="1" customHeight="1" s="14">
      <c r="B20" s="14" t="n">
        <v>15</v>
      </c>
      <c r="C20" s="27" t="n">
        <v>44621</v>
      </c>
      <c r="D20" s="14" t="n">
        <v>0</v>
      </c>
      <c r="E20" s="14" t="inlineStr">
        <is>
          <t>PLACEBO</t>
        </is>
      </c>
      <c r="F20" s="28" t="n">
        <v>8</v>
      </c>
      <c r="G20" s="28" t="n">
        <v>7</v>
      </c>
      <c r="H20" s="28" t="n">
        <v>15</v>
      </c>
      <c r="I20" s="30" t="n">
        <v>45161</v>
      </c>
      <c r="J20" s="29" t="n">
        <v>0</v>
      </c>
      <c r="K20" s="29" t="n">
        <v>0</v>
      </c>
      <c r="L20" s="29">
        <f>+K20+J20</f>
        <v/>
      </c>
    </row>
    <row r="21" ht="13" customFormat="1" customHeight="1" s="14">
      <c r="B21" s="14" t="n">
        <v>16</v>
      </c>
      <c r="C21" s="27" t="n">
        <v>44621</v>
      </c>
      <c r="D21" s="14" t="n">
        <v>1</v>
      </c>
      <c r="E21" s="14" t="inlineStr">
        <is>
          <t>DRUG</t>
        </is>
      </c>
      <c r="F21" s="28" t="n">
        <v>9</v>
      </c>
      <c r="G21" s="28" t="n">
        <v>7</v>
      </c>
      <c r="H21" s="28" t="n">
        <v>16</v>
      </c>
      <c r="I21" s="30" t="n">
        <v>45161</v>
      </c>
      <c r="J21" s="29" t="n">
        <v>0</v>
      </c>
      <c r="K21" s="29" t="n">
        <v>0</v>
      </c>
      <c r="L21" s="29">
        <f>+K21+J21</f>
        <v/>
      </c>
    </row>
    <row r="22" ht="13" customFormat="1" customHeight="1" s="14">
      <c r="B22" s="14" t="n">
        <v>17</v>
      </c>
      <c r="C22" s="27" t="n">
        <v>44652</v>
      </c>
      <c r="D22" s="14" t="n">
        <v>1</v>
      </c>
      <c r="E22" s="14" t="inlineStr">
        <is>
          <t>DRUG</t>
        </is>
      </c>
      <c r="F22" s="28" t="n">
        <v>10</v>
      </c>
      <c r="G22" s="28" t="n">
        <v>7</v>
      </c>
      <c r="H22" s="28" t="n">
        <v>17</v>
      </c>
      <c r="I22" s="30" t="n">
        <v>45192</v>
      </c>
      <c r="J22" s="29" t="n">
        <v>0</v>
      </c>
      <c r="K22" s="29" t="n">
        <v>0</v>
      </c>
      <c r="L22" s="29">
        <f>+K22+J22</f>
        <v/>
      </c>
    </row>
    <row r="23" ht="13" customFormat="1" customHeight="1" s="14">
      <c r="B23" s="14" t="n">
        <v>18</v>
      </c>
      <c r="C23" s="27" t="n">
        <v>44652</v>
      </c>
      <c r="D23" s="14" t="n">
        <v>0</v>
      </c>
      <c r="E23" s="14" t="inlineStr">
        <is>
          <t>PLACEBO</t>
        </is>
      </c>
      <c r="F23" s="28" t="n">
        <v>10</v>
      </c>
      <c r="G23" s="28" t="n">
        <v>8</v>
      </c>
      <c r="H23" s="28" t="n">
        <v>18</v>
      </c>
      <c r="I23" s="30" t="n">
        <v>45192</v>
      </c>
      <c r="J23" s="29" t="n">
        <v>0</v>
      </c>
      <c r="K23" s="29" t="n">
        <v>0</v>
      </c>
      <c r="L23" s="29">
        <f>+K23+J23</f>
        <v/>
      </c>
    </row>
    <row r="24" ht="13" customFormat="1" customHeight="1" s="14">
      <c r="B24" s="14" t="n">
        <v>19</v>
      </c>
      <c r="C24" s="27" t="n">
        <v>44682</v>
      </c>
      <c r="D24" s="14" t="n">
        <v>1</v>
      </c>
      <c r="E24" s="14" t="inlineStr">
        <is>
          <t>DRUG</t>
        </is>
      </c>
      <c r="F24" s="28" t="n">
        <v>11</v>
      </c>
      <c r="G24" s="28" t="n">
        <v>8</v>
      </c>
      <c r="H24" s="28" t="n">
        <v>19</v>
      </c>
      <c r="I24" s="30" t="n">
        <v>45222</v>
      </c>
      <c r="J24" s="29" t="n">
        <v>0</v>
      </c>
      <c r="K24" s="29" t="n">
        <v>0</v>
      </c>
      <c r="L24" s="29">
        <f>+K24+J24</f>
        <v/>
      </c>
    </row>
    <row r="25" ht="13" customFormat="1" customHeight="1" s="14">
      <c r="B25" s="14" t="n">
        <v>20</v>
      </c>
      <c r="C25" s="27" t="n">
        <v>44682</v>
      </c>
      <c r="D25" s="14" t="n">
        <v>1</v>
      </c>
      <c r="E25" s="14" t="inlineStr">
        <is>
          <t>DRUG</t>
        </is>
      </c>
      <c r="F25" s="28" t="n">
        <v>12</v>
      </c>
      <c r="G25" s="28" t="n">
        <v>8</v>
      </c>
      <c r="H25" s="28" t="n">
        <v>20</v>
      </c>
      <c r="I25" s="30" t="n">
        <v>45222</v>
      </c>
      <c r="J25" s="29" t="n">
        <v>0</v>
      </c>
      <c r="K25" s="29" t="n">
        <v>0</v>
      </c>
      <c r="L25" s="29">
        <f>+K25+J25</f>
        <v/>
      </c>
    </row>
    <row r="26" ht="13" customFormat="1" customHeight="1" s="14">
      <c r="B26" s="14" t="n">
        <v>21</v>
      </c>
      <c r="C26" s="27" t="n">
        <v>44682</v>
      </c>
      <c r="D26" s="14" t="n">
        <v>1</v>
      </c>
      <c r="E26" s="14" t="inlineStr">
        <is>
          <t>DRUG</t>
        </is>
      </c>
      <c r="F26" s="28" t="n">
        <v>13</v>
      </c>
      <c r="G26" s="28" t="n">
        <v>8</v>
      </c>
      <c r="H26" s="28" t="n">
        <v>21</v>
      </c>
      <c r="I26" s="30" t="n">
        <v>45222</v>
      </c>
      <c r="J26" s="29" t="n">
        <v>0</v>
      </c>
      <c r="K26" s="29" t="n">
        <v>0</v>
      </c>
      <c r="L26" s="29">
        <f>+K26+J26</f>
        <v/>
      </c>
    </row>
    <row r="27" ht="13" customFormat="1" customHeight="1" s="14">
      <c r="B27" s="14" t="n">
        <v>22</v>
      </c>
      <c r="C27" s="27" t="n">
        <v>44713</v>
      </c>
      <c r="D27" s="14" t="n">
        <v>1</v>
      </c>
      <c r="E27" s="14" t="inlineStr">
        <is>
          <t>DRUG</t>
        </is>
      </c>
      <c r="F27" s="28" t="n">
        <v>14</v>
      </c>
      <c r="G27" s="28" t="n">
        <v>8</v>
      </c>
      <c r="H27" s="28" t="n">
        <v>22</v>
      </c>
      <c r="I27" s="30" t="n">
        <v>45253</v>
      </c>
      <c r="J27" s="29" t="n">
        <v>0</v>
      </c>
      <c r="K27" s="29" t="n">
        <v>0</v>
      </c>
      <c r="L27" s="29">
        <f>+K27+J27</f>
        <v/>
      </c>
    </row>
    <row r="28" ht="13" customFormat="1" customHeight="1" s="14">
      <c r="B28" s="14" t="n">
        <v>23</v>
      </c>
      <c r="C28" s="27" t="n">
        <v>44713</v>
      </c>
      <c r="D28" s="14" t="n">
        <v>0</v>
      </c>
      <c r="E28" s="14" t="inlineStr">
        <is>
          <t>PLACEBO</t>
        </is>
      </c>
      <c r="F28" s="28" t="n">
        <v>14</v>
      </c>
      <c r="G28" s="28" t="n">
        <v>9</v>
      </c>
      <c r="H28" s="28" t="n">
        <v>23</v>
      </c>
      <c r="I28" s="30" t="n">
        <v>45253</v>
      </c>
      <c r="J28" s="29" t="n">
        <v>0</v>
      </c>
      <c r="K28" s="29" t="n">
        <v>0</v>
      </c>
      <c r="L28" s="29">
        <f>+K28+J28</f>
        <v/>
      </c>
    </row>
    <row r="29" ht="13" customFormat="1" customHeight="1" s="14">
      <c r="B29" s="14" t="n">
        <v>24</v>
      </c>
      <c r="C29" s="27" t="n">
        <v>44713</v>
      </c>
      <c r="D29" s="14" t="n">
        <v>1</v>
      </c>
      <c r="E29" s="14" t="inlineStr">
        <is>
          <t>DRUG</t>
        </is>
      </c>
      <c r="F29" s="28" t="n">
        <v>15</v>
      </c>
      <c r="G29" s="28" t="n">
        <v>9</v>
      </c>
      <c r="H29" s="28" t="n">
        <v>24</v>
      </c>
      <c r="I29" s="30" t="n">
        <v>45253</v>
      </c>
      <c r="J29" s="29" t="n">
        <v>1</v>
      </c>
      <c r="K29" s="29" t="n">
        <v>0</v>
      </c>
      <c r="L29" s="29">
        <f>+K29+J29</f>
        <v/>
      </c>
    </row>
    <row r="30" ht="13" customFormat="1" customHeight="1" s="14">
      <c r="B30" s="14" t="n">
        <v>25</v>
      </c>
      <c r="C30" s="27" t="n">
        <v>44743</v>
      </c>
      <c r="D30" s="14" t="n">
        <v>0</v>
      </c>
      <c r="E30" s="14" t="inlineStr">
        <is>
          <t>PLACEBO</t>
        </is>
      </c>
      <c r="F30" s="28" t="n">
        <v>15</v>
      </c>
      <c r="G30" s="28" t="n">
        <v>10</v>
      </c>
      <c r="H30" s="28" t="n">
        <v>25</v>
      </c>
      <c r="I30" s="30" t="n">
        <v>45283</v>
      </c>
      <c r="J30" s="29" t="n">
        <v>1</v>
      </c>
      <c r="K30" s="29" t="n">
        <v>0</v>
      </c>
      <c r="L30" s="29">
        <f>+K30+J30</f>
        <v/>
      </c>
    </row>
    <row r="31" ht="13" customFormat="1" customHeight="1" s="14">
      <c r="B31" s="14" t="n">
        <v>26</v>
      </c>
      <c r="C31" s="27" t="n">
        <v>44743</v>
      </c>
      <c r="D31" s="14" t="n">
        <v>0</v>
      </c>
      <c r="E31" s="14" t="inlineStr">
        <is>
          <t>PLACEBO</t>
        </is>
      </c>
      <c r="F31" s="28" t="n">
        <v>15</v>
      </c>
      <c r="G31" s="28" t="n">
        <v>11</v>
      </c>
      <c r="H31" s="28" t="n">
        <v>26</v>
      </c>
      <c r="I31" s="30" t="n">
        <v>45283</v>
      </c>
      <c r="J31" s="29" t="n">
        <v>2</v>
      </c>
      <c r="K31" s="29" t="n">
        <v>0</v>
      </c>
      <c r="L31" s="29">
        <f>+K31+J31</f>
        <v/>
      </c>
    </row>
    <row r="32" ht="13" customFormat="1" customHeight="1" s="14">
      <c r="B32" s="14" t="n">
        <v>27</v>
      </c>
      <c r="C32" s="27" t="n">
        <v>44743</v>
      </c>
      <c r="D32" s="14" t="n">
        <v>1</v>
      </c>
      <c r="E32" s="14" t="inlineStr">
        <is>
          <t>DRUG</t>
        </is>
      </c>
      <c r="F32" s="28" t="n">
        <v>16</v>
      </c>
      <c r="G32" s="28" t="n">
        <v>11</v>
      </c>
      <c r="H32" s="28" t="n">
        <v>27</v>
      </c>
      <c r="I32" s="30" t="n">
        <v>45283</v>
      </c>
      <c r="J32" s="29" t="n">
        <v>2</v>
      </c>
      <c r="K32" s="29" t="n">
        <v>0</v>
      </c>
      <c r="L32" s="29">
        <f>+K32+J32</f>
        <v/>
      </c>
    </row>
    <row r="33" ht="13" customFormat="1" customHeight="1" s="14">
      <c r="B33" s="14" t="n">
        <v>28</v>
      </c>
      <c r="C33" s="27" t="n">
        <v>44774</v>
      </c>
      <c r="D33" s="14" t="n">
        <v>0</v>
      </c>
      <c r="E33" s="14" t="inlineStr">
        <is>
          <t>PLACEBO</t>
        </is>
      </c>
      <c r="F33" s="28" t="n">
        <v>16</v>
      </c>
      <c r="G33" s="28" t="n">
        <v>12</v>
      </c>
      <c r="H33" s="28" t="n">
        <v>28</v>
      </c>
      <c r="I33" s="30" t="n">
        <v>45314</v>
      </c>
      <c r="J33" s="29" t="n">
        <v>2</v>
      </c>
      <c r="K33" s="29" t="n">
        <v>0</v>
      </c>
      <c r="L33" s="29">
        <f>+K33+J33</f>
        <v/>
      </c>
    </row>
    <row r="34" ht="13" customFormat="1" customHeight="1" s="14">
      <c r="B34" s="14" t="n">
        <v>29</v>
      </c>
      <c r="C34" s="27" t="n">
        <v>44774</v>
      </c>
      <c r="D34" s="14" t="n">
        <v>1</v>
      </c>
      <c r="E34" s="14" t="inlineStr">
        <is>
          <t>DRUG</t>
        </is>
      </c>
      <c r="F34" s="28" t="n">
        <v>17</v>
      </c>
      <c r="G34" s="28" t="n">
        <v>12</v>
      </c>
      <c r="H34" s="28" t="n">
        <v>29</v>
      </c>
      <c r="I34" s="30" t="n">
        <v>45314</v>
      </c>
      <c r="J34" s="29" t="n">
        <v>2</v>
      </c>
      <c r="K34" s="29" t="n">
        <v>1</v>
      </c>
      <c r="L34" s="29">
        <f>+K34+J34</f>
        <v/>
      </c>
    </row>
    <row r="35" ht="13" customFormat="1" customHeight="1" s="14">
      <c r="B35" s="14" t="n">
        <v>30</v>
      </c>
      <c r="C35" s="27" t="n">
        <v>44774</v>
      </c>
      <c r="D35" s="14" t="n">
        <v>0</v>
      </c>
      <c r="E35" s="14" t="inlineStr">
        <is>
          <t>PLACEBO</t>
        </is>
      </c>
      <c r="F35" s="28" t="n">
        <v>17</v>
      </c>
      <c r="G35" s="28" t="n">
        <v>13</v>
      </c>
      <c r="H35" s="28" t="n">
        <v>30</v>
      </c>
      <c r="I35" s="30" t="n">
        <v>45314</v>
      </c>
      <c r="J35" s="29" t="n">
        <v>2</v>
      </c>
      <c r="K35" s="29" t="n">
        <v>1</v>
      </c>
      <c r="L35" s="29">
        <f>+K35+J35</f>
        <v/>
      </c>
    </row>
    <row r="36" ht="13" customFormat="1" customHeight="1" s="14">
      <c r="B36" s="14" t="n">
        <v>31</v>
      </c>
      <c r="C36" s="27" t="n">
        <v>44805</v>
      </c>
      <c r="D36" s="14" t="n">
        <v>0</v>
      </c>
      <c r="E36" s="14" t="inlineStr">
        <is>
          <t>PLACEBO</t>
        </is>
      </c>
      <c r="F36" s="28" t="n">
        <v>17</v>
      </c>
      <c r="G36" s="28" t="n">
        <v>14</v>
      </c>
      <c r="H36" s="28" t="n">
        <v>31</v>
      </c>
      <c r="I36" s="30" t="n">
        <v>45345</v>
      </c>
      <c r="J36" s="29" t="n">
        <v>3</v>
      </c>
      <c r="K36" s="29" t="n">
        <v>1</v>
      </c>
      <c r="L36" s="29">
        <f>+K36+J36</f>
        <v/>
      </c>
    </row>
    <row r="37" ht="13" customFormat="1" customHeight="1" s="14">
      <c r="B37" s="14" t="n">
        <v>32</v>
      </c>
      <c r="C37" s="27" t="n">
        <v>44805</v>
      </c>
      <c r="D37" s="14" t="n">
        <v>1</v>
      </c>
      <c r="E37" s="14" t="inlineStr">
        <is>
          <t>DRUG</t>
        </is>
      </c>
      <c r="F37" s="28" t="n">
        <v>18</v>
      </c>
      <c r="G37" s="28" t="n">
        <v>14</v>
      </c>
      <c r="H37" s="28" t="n">
        <v>32</v>
      </c>
      <c r="I37" s="30" t="n">
        <v>45345</v>
      </c>
      <c r="J37" s="29" t="n">
        <v>3</v>
      </c>
      <c r="K37" s="29" t="n">
        <v>1</v>
      </c>
      <c r="L37" s="29">
        <f>+K37+J37</f>
        <v/>
      </c>
    </row>
    <row r="38" ht="13" customFormat="1" customHeight="1" s="14">
      <c r="B38" s="14" t="n">
        <v>33</v>
      </c>
      <c r="C38" s="27" t="n">
        <v>44805</v>
      </c>
      <c r="D38" s="14" t="n">
        <v>1</v>
      </c>
      <c r="E38" s="14" t="inlineStr">
        <is>
          <t>DRUG</t>
        </is>
      </c>
      <c r="F38" s="28" t="n">
        <v>19</v>
      </c>
      <c r="G38" s="28" t="n">
        <v>14</v>
      </c>
      <c r="H38" s="28" t="n">
        <v>33</v>
      </c>
      <c r="I38" s="30" t="n">
        <v>45345</v>
      </c>
      <c r="J38" s="29" t="n">
        <v>3</v>
      </c>
      <c r="K38" s="29" t="n">
        <v>1</v>
      </c>
      <c r="L38" s="29">
        <f>+K38+J38</f>
        <v/>
      </c>
    </row>
    <row r="39" ht="13" customFormat="1" customHeight="1" s="14">
      <c r="B39" s="14" t="n">
        <v>34</v>
      </c>
      <c r="C39" s="27" t="n">
        <v>44805</v>
      </c>
      <c r="D39" s="14" t="n">
        <v>0</v>
      </c>
      <c r="E39" s="14" t="inlineStr">
        <is>
          <t>PLACEBO</t>
        </is>
      </c>
      <c r="F39" s="28" t="n">
        <v>19</v>
      </c>
      <c r="G39" s="28" t="n">
        <v>15</v>
      </c>
      <c r="H39" s="28" t="n">
        <v>34</v>
      </c>
      <c r="I39" s="30" t="n">
        <v>45345</v>
      </c>
      <c r="J39" s="29" t="n">
        <v>3</v>
      </c>
      <c r="K39" s="29" t="n">
        <v>1</v>
      </c>
      <c r="L39" s="29">
        <f>+K39+J39</f>
        <v/>
      </c>
    </row>
    <row r="40" ht="13" customFormat="1" customHeight="1" s="14">
      <c r="B40" s="14" t="n">
        <v>35</v>
      </c>
      <c r="C40" s="27" t="n">
        <v>44835</v>
      </c>
      <c r="D40" s="14" t="n">
        <v>1</v>
      </c>
      <c r="E40" s="14" t="inlineStr">
        <is>
          <t>DRUG</t>
        </is>
      </c>
      <c r="F40" s="28" t="n">
        <v>20</v>
      </c>
      <c r="G40" s="28" t="n">
        <v>15</v>
      </c>
      <c r="H40" s="28" t="n">
        <v>35</v>
      </c>
      <c r="I40" s="30" t="n">
        <v>45375</v>
      </c>
      <c r="J40" s="29" t="n">
        <v>4</v>
      </c>
      <c r="K40" s="29" t="n">
        <v>1</v>
      </c>
      <c r="L40" s="29">
        <f>+K40+J40</f>
        <v/>
      </c>
    </row>
    <row r="41" ht="13" customFormat="1" customHeight="1" s="14">
      <c r="B41" s="14" t="n">
        <v>36</v>
      </c>
      <c r="C41" s="27" t="n">
        <v>44835</v>
      </c>
      <c r="D41" s="14" t="n">
        <v>1</v>
      </c>
      <c r="E41" s="14" t="inlineStr">
        <is>
          <t>DRUG</t>
        </is>
      </c>
      <c r="F41" s="28" t="n">
        <v>21</v>
      </c>
      <c r="G41" s="28" t="n">
        <v>15</v>
      </c>
      <c r="H41" s="28" t="n">
        <v>36</v>
      </c>
      <c r="I41" s="30" t="n">
        <v>45375</v>
      </c>
      <c r="J41" s="29" t="n">
        <v>4</v>
      </c>
      <c r="K41" s="29" t="n">
        <v>1</v>
      </c>
      <c r="L41" s="29">
        <f>+K41+J41</f>
        <v/>
      </c>
    </row>
    <row r="42" ht="13" customFormat="1" customHeight="1" s="14">
      <c r="B42" s="14" t="n">
        <v>37</v>
      </c>
      <c r="C42" s="27" t="n">
        <v>44835</v>
      </c>
      <c r="D42" s="14" t="n">
        <v>1</v>
      </c>
      <c r="E42" s="14" t="inlineStr">
        <is>
          <t>DRUG</t>
        </is>
      </c>
      <c r="F42" s="28" t="n">
        <v>22</v>
      </c>
      <c r="G42" s="28" t="n">
        <v>15</v>
      </c>
      <c r="H42" s="28" t="n">
        <v>37</v>
      </c>
      <c r="I42" s="30" t="n">
        <v>45375</v>
      </c>
      <c r="J42" s="29" t="n">
        <v>4</v>
      </c>
      <c r="K42" s="29" t="n">
        <v>1</v>
      </c>
      <c r="L42" s="29">
        <f>+K42+J42</f>
        <v/>
      </c>
    </row>
    <row r="43" ht="13" customFormat="1" customHeight="1" s="14">
      <c r="B43" s="14" t="n">
        <v>38</v>
      </c>
      <c r="C43" s="27" t="n">
        <v>44835</v>
      </c>
      <c r="D43" s="14" t="n">
        <v>0</v>
      </c>
      <c r="E43" s="14" t="inlineStr">
        <is>
          <t>PLACEBO</t>
        </is>
      </c>
      <c r="F43" s="28" t="n">
        <v>22</v>
      </c>
      <c r="G43" s="28" t="n">
        <v>16</v>
      </c>
      <c r="H43" s="28" t="n">
        <v>38</v>
      </c>
      <c r="I43" s="30" t="n">
        <v>45375</v>
      </c>
      <c r="J43" s="29" t="n">
        <v>4</v>
      </c>
      <c r="K43" s="29" t="n">
        <v>1</v>
      </c>
      <c r="L43" s="29">
        <f>+K43+J43</f>
        <v/>
      </c>
    </row>
    <row r="44" ht="13" customFormat="1" customHeight="1" s="14">
      <c r="B44" s="14" t="n">
        <v>39</v>
      </c>
      <c r="C44" s="27" t="n">
        <v>44866</v>
      </c>
      <c r="D44" s="14" t="n">
        <v>1</v>
      </c>
      <c r="E44" s="14" t="inlineStr">
        <is>
          <t>DRUG</t>
        </is>
      </c>
      <c r="F44" s="28" t="n">
        <v>23</v>
      </c>
      <c r="G44" s="28" t="n">
        <v>16</v>
      </c>
      <c r="H44" s="28" t="n">
        <v>39</v>
      </c>
      <c r="I44" s="30" t="n">
        <v>45406</v>
      </c>
      <c r="J44" s="29" t="n">
        <v>4</v>
      </c>
      <c r="K44" s="29" t="n">
        <v>2</v>
      </c>
      <c r="L44" s="29">
        <f>+K44+J44</f>
        <v/>
      </c>
    </row>
    <row r="45" ht="13" customFormat="1" customHeight="1" s="14">
      <c r="B45" s="14" t="n">
        <v>40</v>
      </c>
      <c r="C45" s="27" t="n">
        <v>44866</v>
      </c>
      <c r="D45" s="14" t="n">
        <v>0</v>
      </c>
      <c r="E45" s="14" t="inlineStr">
        <is>
          <t>PLACEBO</t>
        </is>
      </c>
      <c r="F45" s="28" t="n">
        <v>23</v>
      </c>
      <c r="G45" s="28" t="n">
        <v>17</v>
      </c>
      <c r="H45" s="28" t="n">
        <v>40</v>
      </c>
      <c r="I45" s="30" t="n">
        <v>45406</v>
      </c>
      <c r="J45" s="29" t="n">
        <v>4</v>
      </c>
      <c r="K45" s="29" t="n">
        <v>2</v>
      </c>
      <c r="L45" s="29">
        <f>+K45+J45</f>
        <v/>
      </c>
    </row>
    <row r="46" ht="13" customFormat="1" customHeight="1" s="14">
      <c r="B46" s="14" t="n">
        <v>41</v>
      </c>
      <c r="C46" s="27" t="n">
        <v>44866</v>
      </c>
      <c r="D46" s="14" t="n">
        <v>0</v>
      </c>
      <c r="E46" s="14" t="inlineStr">
        <is>
          <t>PLACEBO</t>
        </is>
      </c>
      <c r="F46" s="28" t="n">
        <v>23</v>
      </c>
      <c r="G46" s="28" t="n">
        <v>18</v>
      </c>
      <c r="H46" s="28" t="n">
        <v>41</v>
      </c>
      <c r="I46" s="30" t="n">
        <v>45406</v>
      </c>
      <c r="J46" s="29" t="n">
        <v>4</v>
      </c>
      <c r="K46" s="29" t="n">
        <v>2</v>
      </c>
      <c r="L46" s="29">
        <f>+K46+J46</f>
        <v/>
      </c>
    </row>
    <row r="47" ht="13" customFormat="1" customHeight="1" s="14">
      <c r="B47" s="14" t="n">
        <v>42</v>
      </c>
      <c r="C47" s="27" t="n">
        <v>44866</v>
      </c>
      <c r="D47" s="14" t="n">
        <v>0</v>
      </c>
      <c r="E47" s="14" t="inlineStr">
        <is>
          <t>PLACEBO</t>
        </is>
      </c>
      <c r="F47" s="28" t="n">
        <v>23</v>
      </c>
      <c r="G47" s="28" t="n">
        <v>19</v>
      </c>
      <c r="H47" s="28" t="n">
        <v>42</v>
      </c>
      <c r="I47" s="30" t="n">
        <v>45406</v>
      </c>
      <c r="J47" s="29" t="n">
        <v>4</v>
      </c>
      <c r="K47" s="29" t="n">
        <v>2</v>
      </c>
      <c r="L47" s="29">
        <f>+K47+J47</f>
        <v/>
      </c>
    </row>
    <row r="48" ht="13" customFormat="1" customHeight="1" s="14">
      <c r="B48" s="14" t="n">
        <v>43</v>
      </c>
      <c r="C48" s="27" t="n">
        <v>44866</v>
      </c>
      <c r="D48" s="14" t="n">
        <v>0</v>
      </c>
      <c r="E48" s="14" t="inlineStr">
        <is>
          <t>PLACEBO</t>
        </is>
      </c>
      <c r="F48" s="28" t="n">
        <v>23</v>
      </c>
      <c r="G48" s="28" t="n">
        <v>20</v>
      </c>
      <c r="H48" s="28" t="n">
        <v>43</v>
      </c>
      <c r="I48" s="30" t="n">
        <v>45406</v>
      </c>
      <c r="J48" s="29" t="n">
        <v>4</v>
      </c>
      <c r="K48" s="29" t="n">
        <v>2</v>
      </c>
      <c r="L48" s="29">
        <f>+K48+J48</f>
        <v/>
      </c>
    </row>
    <row r="49" ht="13" customFormat="1" customHeight="1" s="14">
      <c r="B49" s="14" t="n">
        <v>44</v>
      </c>
      <c r="C49" s="27" t="n">
        <v>44896</v>
      </c>
      <c r="D49" s="14" t="n">
        <v>0</v>
      </c>
      <c r="E49" s="14" t="inlineStr">
        <is>
          <t>PLACEBO</t>
        </is>
      </c>
      <c r="F49" s="28" t="n">
        <v>23</v>
      </c>
      <c r="G49" s="28" t="n">
        <v>21</v>
      </c>
      <c r="H49" s="28" t="n">
        <v>44</v>
      </c>
      <c r="I49" s="30" t="n">
        <v>45436</v>
      </c>
      <c r="J49" s="29" t="n">
        <v>5</v>
      </c>
      <c r="K49" s="29" t="n">
        <v>2</v>
      </c>
      <c r="L49" s="29">
        <f>+K49+J49</f>
        <v/>
      </c>
    </row>
    <row r="50" ht="13" customFormat="1" customHeight="1" s="14">
      <c r="B50" s="14" t="n">
        <v>45</v>
      </c>
      <c r="C50" s="27" t="n">
        <v>44896</v>
      </c>
      <c r="D50" s="14" t="n">
        <v>0</v>
      </c>
      <c r="E50" s="14" t="inlineStr">
        <is>
          <t>PLACEBO</t>
        </is>
      </c>
      <c r="F50" s="28" t="n">
        <v>23</v>
      </c>
      <c r="G50" s="28" t="n">
        <v>22</v>
      </c>
      <c r="H50" s="28" t="n">
        <v>45</v>
      </c>
      <c r="I50" s="30" t="n">
        <v>45436</v>
      </c>
      <c r="J50" s="29" t="n">
        <v>5</v>
      </c>
      <c r="K50" s="29" t="n">
        <v>2</v>
      </c>
      <c r="L50" s="29">
        <f>+K50+J50</f>
        <v/>
      </c>
    </row>
    <row r="51" ht="13" customFormat="1" customHeight="1" s="14">
      <c r="B51" s="14" t="n">
        <v>46</v>
      </c>
      <c r="C51" s="27" t="n">
        <v>44896</v>
      </c>
      <c r="D51" s="14" t="n">
        <v>0</v>
      </c>
      <c r="E51" s="14" t="inlineStr">
        <is>
          <t>PLACEBO</t>
        </is>
      </c>
      <c r="F51" s="28" t="n">
        <v>23</v>
      </c>
      <c r="G51" s="28" t="n">
        <v>23</v>
      </c>
      <c r="H51" s="28" t="n">
        <v>46</v>
      </c>
      <c r="I51" s="30" t="n">
        <v>45436</v>
      </c>
      <c r="J51" s="29" t="n">
        <v>5</v>
      </c>
      <c r="K51" s="29" t="n">
        <v>2</v>
      </c>
      <c r="L51" s="29">
        <f>+K51+J51</f>
        <v/>
      </c>
    </row>
    <row r="52" ht="13" customFormat="1" customHeight="1" s="14">
      <c r="B52" s="14" t="n">
        <v>47</v>
      </c>
      <c r="C52" s="27" t="n">
        <v>44896</v>
      </c>
      <c r="D52" s="14" t="n">
        <v>1</v>
      </c>
      <c r="E52" s="14" t="inlineStr">
        <is>
          <t>DRUG</t>
        </is>
      </c>
      <c r="F52" s="28" t="n">
        <v>24</v>
      </c>
      <c r="G52" s="28" t="n">
        <v>23</v>
      </c>
      <c r="H52" s="28" t="n">
        <v>47</v>
      </c>
      <c r="I52" s="30" t="n">
        <v>45436</v>
      </c>
      <c r="J52" s="29" t="n">
        <v>5</v>
      </c>
      <c r="K52" s="29" t="n">
        <v>2</v>
      </c>
      <c r="L52" s="29">
        <f>+K52+J52</f>
        <v/>
      </c>
    </row>
    <row r="53" ht="13" customFormat="1" customHeight="1" s="14">
      <c r="B53" s="14" t="n">
        <v>48</v>
      </c>
      <c r="C53" s="27" t="n">
        <v>44896</v>
      </c>
      <c r="D53" s="14" t="n">
        <v>0</v>
      </c>
      <c r="E53" s="14" t="inlineStr">
        <is>
          <t>PLACEBO</t>
        </is>
      </c>
      <c r="F53" s="28" t="n">
        <v>24</v>
      </c>
      <c r="G53" s="28" t="n">
        <v>24</v>
      </c>
      <c r="H53" s="28" t="n">
        <v>48</v>
      </c>
      <c r="I53" s="30" t="n">
        <v>45436</v>
      </c>
      <c r="J53" s="29" t="n">
        <v>5</v>
      </c>
      <c r="K53" s="29" t="n">
        <v>2</v>
      </c>
      <c r="L53" s="29">
        <f>+K53+J53</f>
        <v/>
      </c>
    </row>
    <row r="54" ht="13" customFormat="1" customHeight="1" s="14">
      <c r="B54" s="14" t="n">
        <v>49</v>
      </c>
      <c r="C54" s="27" t="n">
        <v>44927</v>
      </c>
      <c r="D54" s="14" t="n">
        <v>1</v>
      </c>
      <c r="E54" s="14" t="inlineStr">
        <is>
          <t>DRUG</t>
        </is>
      </c>
      <c r="F54" s="28" t="n">
        <v>25</v>
      </c>
      <c r="G54" s="28" t="n">
        <v>24</v>
      </c>
      <c r="H54" s="28" t="n">
        <v>49</v>
      </c>
      <c r="I54" s="30" t="n">
        <v>45467</v>
      </c>
      <c r="J54" s="29" t="n">
        <v>6</v>
      </c>
      <c r="K54" s="29" t="n">
        <v>2</v>
      </c>
      <c r="L54" s="29">
        <f>+K54+J54</f>
        <v/>
      </c>
    </row>
    <row r="55" ht="13" customFormat="1" customHeight="1" s="14">
      <c r="B55" s="14" t="n">
        <v>50</v>
      </c>
      <c r="C55" s="27" t="n">
        <v>44927</v>
      </c>
      <c r="D55" s="14" t="n">
        <v>1</v>
      </c>
      <c r="E55" s="14" t="inlineStr">
        <is>
          <t>DRUG</t>
        </is>
      </c>
      <c r="F55" s="28" t="n">
        <v>26</v>
      </c>
      <c r="G55" s="28" t="n">
        <v>24</v>
      </c>
      <c r="H55" s="28" t="n">
        <v>50</v>
      </c>
      <c r="I55" s="30" t="n">
        <v>45467</v>
      </c>
      <c r="J55" s="29" t="n">
        <v>6</v>
      </c>
      <c r="K55" s="29" t="n">
        <v>2</v>
      </c>
      <c r="L55" s="29">
        <f>+K55+J55</f>
        <v/>
      </c>
    </row>
    <row r="56" ht="13" customFormat="1" customHeight="1" s="14">
      <c r="B56" s="14" t="n">
        <v>51</v>
      </c>
      <c r="C56" s="27" t="n">
        <v>44927</v>
      </c>
      <c r="D56" s="14" t="n">
        <v>0</v>
      </c>
      <c r="E56" s="14" t="inlineStr">
        <is>
          <t>PLACEBO</t>
        </is>
      </c>
      <c r="F56" s="28" t="n">
        <v>26</v>
      </c>
      <c r="G56" s="28" t="n">
        <v>25</v>
      </c>
      <c r="H56" s="28" t="n">
        <v>51</v>
      </c>
      <c r="I56" s="30" t="n">
        <v>45467</v>
      </c>
      <c r="J56" s="29" t="n">
        <v>6</v>
      </c>
      <c r="K56" s="29" t="n">
        <v>2</v>
      </c>
      <c r="L56" s="29">
        <f>+K56+J56</f>
        <v/>
      </c>
    </row>
    <row r="57" ht="13" customFormat="1" customHeight="1" s="14">
      <c r="B57" s="14" t="n">
        <v>52</v>
      </c>
      <c r="C57" s="27" t="n">
        <v>44927</v>
      </c>
      <c r="D57" s="14" t="n">
        <v>1</v>
      </c>
      <c r="E57" s="14" t="inlineStr">
        <is>
          <t>DRUG</t>
        </is>
      </c>
      <c r="F57" s="28" t="n">
        <v>27</v>
      </c>
      <c r="G57" s="28" t="n">
        <v>25</v>
      </c>
      <c r="H57" s="28" t="n">
        <v>52</v>
      </c>
      <c r="I57" s="30" t="n">
        <v>45467</v>
      </c>
      <c r="J57" s="29" t="n">
        <v>6</v>
      </c>
      <c r="K57" s="29" t="n">
        <v>2</v>
      </c>
      <c r="L57" s="29">
        <f>+K57+J57</f>
        <v/>
      </c>
    </row>
    <row r="58" ht="13" customFormat="1" customHeight="1" s="14">
      <c r="B58" s="14" t="n">
        <v>53</v>
      </c>
      <c r="C58" s="27" t="n">
        <v>44927</v>
      </c>
      <c r="D58" s="14" t="n">
        <v>0</v>
      </c>
      <c r="E58" s="14" t="inlineStr">
        <is>
          <t>PLACEBO</t>
        </is>
      </c>
      <c r="F58" s="28" t="n">
        <v>27</v>
      </c>
      <c r="G58" s="28" t="n">
        <v>26</v>
      </c>
      <c r="H58" s="28" t="n">
        <v>53</v>
      </c>
      <c r="I58" s="30" t="n">
        <v>45467</v>
      </c>
      <c r="J58" s="29" t="n">
        <v>6</v>
      </c>
      <c r="K58" s="29" t="n">
        <v>2</v>
      </c>
      <c r="L58" s="29">
        <f>+K58+J58</f>
        <v/>
      </c>
    </row>
    <row r="59" ht="13" customFormat="1" customHeight="1" s="14">
      <c r="B59" s="14" t="n">
        <v>54</v>
      </c>
      <c r="C59" s="27" t="n">
        <v>44958</v>
      </c>
      <c r="D59" s="14" t="n">
        <v>0</v>
      </c>
      <c r="E59" s="14" t="inlineStr">
        <is>
          <t>PLACEBO</t>
        </is>
      </c>
      <c r="F59" s="28" t="n">
        <v>27</v>
      </c>
      <c r="G59" s="28" t="n">
        <v>27</v>
      </c>
      <c r="H59" s="28" t="n">
        <v>54</v>
      </c>
      <c r="I59" s="30" t="n">
        <v>45498</v>
      </c>
      <c r="J59" s="29" t="n">
        <v>7</v>
      </c>
      <c r="K59" s="29" t="n">
        <v>2</v>
      </c>
      <c r="L59" s="29">
        <f>+K59+J59</f>
        <v/>
      </c>
    </row>
    <row r="60" ht="13" customFormat="1" customHeight="1" s="14">
      <c r="B60" s="14" t="n">
        <v>55</v>
      </c>
      <c r="C60" s="27" t="n">
        <v>44958</v>
      </c>
      <c r="D60" s="14" t="n">
        <v>0</v>
      </c>
      <c r="E60" s="14" t="inlineStr">
        <is>
          <t>PLACEBO</t>
        </is>
      </c>
      <c r="F60" s="28" t="n">
        <v>27</v>
      </c>
      <c r="G60" s="28" t="n">
        <v>28</v>
      </c>
      <c r="H60" s="28" t="n">
        <v>55</v>
      </c>
      <c r="I60" s="30" t="n">
        <v>45498</v>
      </c>
      <c r="J60" s="29" t="n">
        <v>7</v>
      </c>
      <c r="K60" s="29" t="n">
        <v>2</v>
      </c>
      <c r="L60" s="29">
        <f>+K60+J60</f>
        <v/>
      </c>
    </row>
    <row r="61" ht="13" customFormat="1" customHeight="1" s="14">
      <c r="B61" s="14" t="n">
        <v>56</v>
      </c>
      <c r="C61" s="27" t="n">
        <v>44958</v>
      </c>
      <c r="D61" s="14" t="n">
        <v>0</v>
      </c>
      <c r="E61" s="14" t="inlineStr">
        <is>
          <t>PLACEBO</t>
        </is>
      </c>
      <c r="F61" s="28" t="n">
        <v>27</v>
      </c>
      <c r="G61" s="28" t="n">
        <v>29</v>
      </c>
      <c r="H61" s="28" t="n">
        <v>56</v>
      </c>
      <c r="I61" s="30" t="n">
        <v>45498</v>
      </c>
      <c r="J61" s="29" t="n">
        <v>7</v>
      </c>
      <c r="K61" s="29" t="n">
        <v>2</v>
      </c>
      <c r="L61" s="29">
        <f>+K61+J61</f>
        <v/>
      </c>
    </row>
    <row r="62" ht="13" customFormat="1" customHeight="1" s="14">
      <c r="B62" s="14" t="n">
        <v>57</v>
      </c>
      <c r="C62" s="27" t="n">
        <v>44958</v>
      </c>
      <c r="D62" s="14" t="n">
        <v>1</v>
      </c>
      <c r="E62" s="14" t="inlineStr">
        <is>
          <t>DRUG</t>
        </is>
      </c>
      <c r="F62" s="28" t="n">
        <v>28</v>
      </c>
      <c r="G62" s="28" t="n">
        <v>29</v>
      </c>
      <c r="H62" s="28" t="n">
        <v>57</v>
      </c>
      <c r="I62" s="30" t="n">
        <v>45498</v>
      </c>
      <c r="J62" s="29" t="n">
        <v>7</v>
      </c>
      <c r="K62" s="29" t="n">
        <v>2</v>
      </c>
      <c r="L62" s="29">
        <f>+K62+J62</f>
        <v/>
      </c>
    </row>
    <row r="63" ht="13" customFormat="1" customHeight="1" s="14">
      <c r="B63" s="14" t="n">
        <v>58</v>
      </c>
      <c r="C63" s="27" t="n">
        <v>44958</v>
      </c>
      <c r="D63" s="14" t="n">
        <v>1</v>
      </c>
      <c r="E63" s="14" t="inlineStr">
        <is>
          <t>DRUG</t>
        </is>
      </c>
      <c r="F63" s="28" t="n">
        <v>29</v>
      </c>
      <c r="G63" s="28" t="n">
        <v>29</v>
      </c>
      <c r="H63" s="28" t="n">
        <v>58</v>
      </c>
      <c r="I63" s="30" t="n">
        <v>45498</v>
      </c>
      <c r="J63" s="29" t="n">
        <v>7</v>
      </c>
      <c r="K63" s="29" t="n">
        <v>2</v>
      </c>
      <c r="L63" s="29">
        <f>+K63+J63</f>
        <v/>
      </c>
    </row>
    <row r="64" ht="13" customFormat="1" customHeight="1" s="14">
      <c r="B64" s="14" t="n">
        <v>59</v>
      </c>
      <c r="C64" s="27" t="n">
        <v>44986</v>
      </c>
      <c r="D64" s="14" t="n">
        <v>1</v>
      </c>
      <c r="E64" s="14" t="inlineStr">
        <is>
          <t>DRUG</t>
        </is>
      </c>
      <c r="F64" s="28" t="n">
        <v>30</v>
      </c>
      <c r="G64" s="28" t="n">
        <v>29</v>
      </c>
      <c r="H64" s="28" t="n">
        <v>59</v>
      </c>
      <c r="I64" s="30" t="n">
        <v>45526</v>
      </c>
      <c r="J64" s="29" t="n">
        <v>7</v>
      </c>
      <c r="K64" s="29" t="n">
        <v>3</v>
      </c>
      <c r="L64" s="29">
        <f>+K64+J64</f>
        <v/>
      </c>
    </row>
    <row r="65" ht="13" customFormat="1" customHeight="1" s="14">
      <c r="B65" s="14" t="n">
        <v>60</v>
      </c>
      <c r="C65" s="27" t="n">
        <v>44986</v>
      </c>
      <c r="D65" s="14" t="n">
        <v>1</v>
      </c>
      <c r="E65" s="14" t="inlineStr">
        <is>
          <t>DRUG</t>
        </is>
      </c>
      <c r="F65" s="28" t="n">
        <v>31</v>
      </c>
      <c r="G65" s="28" t="n">
        <v>29</v>
      </c>
      <c r="H65" s="28" t="n">
        <v>60</v>
      </c>
      <c r="I65" s="30" t="n">
        <v>45526</v>
      </c>
      <c r="J65" s="29" t="n">
        <v>7</v>
      </c>
      <c r="K65" s="29" t="n">
        <v>3</v>
      </c>
      <c r="L65" s="29">
        <f>+K65+J65</f>
        <v/>
      </c>
    </row>
    <row r="66" ht="13" customFormat="1" customHeight="1" s="14">
      <c r="B66" s="14" t="n">
        <v>61</v>
      </c>
      <c r="C66" s="27" t="n">
        <v>44986</v>
      </c>
      <c r="D66" s="14" t="n">
        <v>1</v>
      </c>
      <c r="E66" s="14" t="inlineStr">
        <is>
          <t>DRUG</t>
        </is>
      </c>
      <c r="F66" s="28" t="n">
        <v>32</v>
      </c>
      <c r="G66" s="28" t="n">
        <v>29</v>
      </c>
      <c r="H66" s="28" t="n">
        <v>61</v>
      </c>
      <c r="I66" s="30" t="n">
        <v>45526</v>
      </c>
      <c r="J66" s="29" t="n">
        <v>7</v>
      </c>
      <c r="K66" s="29" t="n">
        <v>3</v>
      </c>
      <c r="L66" s="29">
        <f>+K66+J66</f>
        <v/>
      </c>
    </row>
    <row r="67" ht="13" customFormat="1" customHeight="1" s="14">
      <c r="B67" s="14" t="n">
        <v>62</v>
      </c>
      <c r="C67" s="27" t="n">
        <v>44986</v>
      </c>
      <c r="D67" s="14" t="n">
        <v>1</v>
      </c>
      <c r="E67" s="14" t="inlineStr">
        <is>
          <t>DRUG</t>
        </is>
      </c>
      <c r="F67" s="28" t="n">
        <v>33</v>
      </c>
      <c r="G67" s="28" t="n">
        <v>29</v>
      </c>
      <c r="H67" s="28" t="n">
        <v>62</v>
      </c>
      <c r="I67" s="30" t="n">
        <v>45526</v>
      </c>
      <c r="J67" s="29" t="n">
        <v>7</v>
      </c>
      <c r="K67" s="29" t="n">
        <v>3</v>
      </c>
      <c r="L67" s="29">
        <f>+K67+J67</f>
        <v/>
      </c>
    </row>
    <row r="68" ht="13" customFormat="1" customHeight="1" s="14">
      <c r="B68" s="14" t="n">
        <v>63</v>
      </c>
      <c r="C68" s="27" t="n">
        <v>44986</v>
      </c>
      <c r="D68" s="14" t="n">
        <v>0</v>
      </c>
      <c r="E68" s="14" t="inlineStr">
        <is>
          <t>PLACEBO</t>
        </is>
      </c>
      <c r="F68" s="28" t="n">
        <v>33</v>
      </c>
      <c r="G68" s="28" t="n">
        <v>30</v>
      </c>
      <c r="H68" s="28" t="n">
        <v>63</v>
      </c>
      <c r="I68" s="30" t="n">
        <v>45526</v>
      </c>
      <c r="J68" s="29" t="n">
        <v>7</v>
      </c>
      <c r="K68" s="29" t="n">
        <v>3</v>
      </c>
      <c r="L68" s="29">
        <f>+K68+J68</f>
        <v/>
      </c>
    </row>
    <row r="69" ht="13" customFormat="1" customHeight="1" s="14">
      <c r="B69" s="14" t="n">
        <v>64</v>
      </c>
      <c r="C69" s="27" t="n">
        <v>45017</v>
      </c>
      <c r="D69" s="14" t="n">
        <v>0</v>
      </c>
      <c r="E69" s="14" t="inlineStr">
        <is>
          <t>PLACEBO</t>
        </is>
      </c>
      <c r="F69" s="28" t="n">
        <v>33</v>
      </c>
      <c r="G69" s="28" t="n">
        <v>31</v>
      </c>
      <c r="H69" s="28" t="n">
        <v>64</v>
      </c>
      <c r="I69" s="30" t="n">
        <v>45557</v>
      </c>
      <c r="J69" s="29" t="n">
        <v>7</v>
      </c>
      <c r="K69" s="29" t="n">
        <v>4</v>
      </c>
      <c r="L69" s="29">
        <f>+K69+J69</f>
        <v/>
      </c>
    </row>
    <row r="70" ht="13" customFormat="1" customHeight="1" s="14">
      <c r="B70" s="14" t="n">
        <v>65</v>
      </c>
      <c r="C70" s="27" t="n">
        <v>45017</v>
      </c>
      <c r="D70" s="14" t="n">
        <v>0</v>
      </c>
      <c r="E70" s="14" t="inlineStr">
        <is>
          <t>PLACEBO</t>
        </is>
      </c>
      <c r="F70" s="28" t="n">
        <v>33</v>
      </c>
      <c r="G70" s="28" t="n">
        <v>32</v>
      </c>
      <c r="H70" s="28" t="n">
        <v>65</v>
      </c>
      <c r="I70" s="30" t="n">
        <v>45557</v>
      </c>
      <c r="J70" s="29" t="n">
        <v>7</v>
      </c>
      <c r="K70" s="29" t="n">
        <v>4</v>
      </c>
      <c r="L70" s="29">
        <f>+K70+J70</f>
        <v/>
      </c>
    </row>
    <row r="71" ht="13" customFormat="1" customHeight="1" s="14">
      <c r="B71" s="14" t="n">
        <v>66</v>
      </c>
      <c r="C71" s="27" t="n">
        <v>45017</v>
      </c>
      <c r="D71" s="14" t="n">
        <v>0</v>
      </c>
      <c r="E71" s="14" t="inlineStr">
        <is>
          <t>PLACEBO</t>
        </is>
      </c>
      <c r="F71" s="28" t="n">
        <v>33</v>
      </c>
      <c r="G71" s="28" t="n">
        <v>33</v>
      </c>
      <c r="H71" s="28" t="n">
        <v>66</v>
      </c>
      <c r="I71" s="30" t="n">
        <v>45557</v>
      </c>
      <c r="J71" s="29" t="n">
        <v>7</v>
      </c>
      <c r="K71" s="29" t="n">
        <v>4</v>
      </c>
      <c r="L71" s="29">
        <f>+K71+J71</f>
        <v/>
      </c>
    </row>
    <row r="72" ht="13" customFormat="1" customHeight="1" s="14">
      <c r="B72" s="14" t="n">
        <v>67</v>
      </c>
      <c r="C72" s="27" t="n">
        <v>45017</v>
      </c>
      <c r="D72" s="14" t="n">
        <v>0</v>
      </c>
      <c r="E72" s="14" t="inlineStr">
        <is>
          <t>PLACEBO</t>
        </is>
      </c>
      <c r="F72" s="28" t="n">
        <v>33</v>
      </c>
      <c r="G72" s="28" t="n">
        <v>34</v>
      </c>
      <c r="H72" s="28" t="n">
        <v>67</v>
      </c>
      <c r="I72" s="30" t="n">
        <v>45557</v>
      </c>
      <c r="J72" s="29" t="n">
        <v>7</v>
      </c>
      <c r="K72" s="29" t="n">
        <v>4</v>
      </c>
      <c r="L72" s="29">
        <f>+K72+J72</f>
        <v/>
      </c>
    </row>
    <row r="73" ht="13" customFormat="1" customHeight="1" s="14">
      <c r="B73" s="14" t="n">
        <v>68</v>
      </c>
      <c r="C73" s="27" t="n">
        <v>45017</v>
      </c>
      <c r="D73" s="14" t="n">
        <v>0</v>
      </c>
      <c r="E73" s="14" t="inlineStr">
        <is>
          <t>PLACEBO</t>
        </is>
      </c>
      <c r="F73" s="28" t="n">
        <v>33</v>
      </c>
      <c r="G73" s="28" t="n">
        <v>35</v>
      </c>
      <c r="H73" s="28" t="n">
        <v>68</v>
      </c>
      <c r="I73" s="30" t="n">
        <v>45557</v>
      </c>
      <c r="J73" s="29" t="n">
        <v>7</v>
      </c>
      <c r="K73" s="29" t="n">
        <v>4</v>
      </c>
      <c r="L73" s="29">
        <f>+K73+J73</f>
        <v/>
      </c>
    </row>
    <row r="74" ht="13" customFormat="1" customHeight="1" s="14">
      <c r="B74" s="14" t="n">
        <v>69</v>
      </c>
      <c r="C74" s="27" t="n">
        <v>45047</v>
      </c>
      <c r="D74" s="14" t="n">
        <v>1</v>
      </c>
      <c r="E74" s="14" t="inlineStr">
        <is>
          <t>DRUG</t>
        </is>
      </c>
      <c r="F74" s="28" t="n">
        <v>34</v>
      </c>
      <c r="G74" s="28" t="n">
        <v>35</v>
      </c>
      <c r="H74" s="28" t="n">
        <v>69</v>
      </c>
      <c r="I74" s="30" t="n">
        <v>45587</v>
      </c>
      <c r="J74" s="29" t="n">
        <v>7</v>
      </c>
      <c r="K74" s="29" t="n">
        <v>5</v>
      </c>
      <c r="L74" s="29">
        <f>+K74+J74</f>
        <v/>
      </c>
    </row>
    <row r="75" ht="13" customFormat="1" customHeight="1" s="14">
      <c r="B75" s="14" t="n">
        <v>70</v>
      </c>
      <c r="C75" s="27" t="n">
        <v>45047</v>
      </c>
      <c r="D75" s="14" t="n">
        <v>0</v>
      </c>
      <c r="E75" s="14" t="inlineStr">
        <is>
          <t>PLACEBO</t>
        </is>
      </c>
      <c r="F75" s="28" t="n">
        <v>34</v>
      </c>
      <c r="G75" s="28" t="n">
        <v>36</v>
      </c>
      <c r="H75" s="28" t="n">
        <v>70</v>
      </c>
      <c r="I75" s="30" t="n">
        <v>45587</v>
      </c>
      <c r="J75" s="29" t="n">
        <v>7</v>
      </c>
      <c r="K75" s="29" t="n">
        <v>5</v>
      </c>
      <c r="L75" s="29">
        <f>+K75+J75</f>
        <v/>
      </c>
    </row>
    <row r="76" ht="13" customFormat="1" customHeight="1" s="14">
      <c r="B76" s="14" t="n">
        <v>71</v>
      </c>
      <c r="C76" s="27" t="n">
        <v>45047</v>
      </c>
      <c r="D76" s="14" t="n">
        <v>1</v>
      </c>
      <c r="E76" s="14" t="inlineStr">
        <is>
          <t>DRUG</t>
        </is>
      </c>
      <c r="F76" s="28" t="n">
        <v>35</v>
      </c>
      <c r="G76" s="28" t="n">
        <v>36</v>
      </c>
      <c r="H76" s="28" t="n">
        <v>71</v>
      </c>
      <c r="I76" s="30" t="n">
        <v>45587</v>
      </c>
      <c r="J76" s="29" t="n">
        <v>7</v>
      </c>
      <c r="K76" s="29" t="n">
        <v>5</v>
      </c>
      <c r="L76" s="29">
        <f>+K76+J76</f>
        <v/>
      </c>
    </row>
    <row r="77" ht="13" customFormat="1" customHeight="1" s="14">
      <c r="B77" s="14" t="n">
        <v>72</v>
      </c>
      <c r="C77" s="27" t="n">
        <v>45047</v>
      </c>
      <c r="D77" s="14" t="n">
        <v>0</v>
      </c>
      <c r="E77" s="14" t="inlineStr">
        <is>
          <t>PLACEBO</t>
        </is>
      </c>
      <c r="F77" s="28" t="n">
        <v>35</v>
      </c>
      <c r="G77" s="28" t="n">
        <v>37</v>
      </c>
      <c r="H77" s="28" t="n">
        <v>72</v>
      </c>
      <c r="I77" s="30" t="n">
        <v>45587</v>
      </c>
      <c r="J77" s="29" t="n">
        <v>7</v>
      </c>
      <c r="K77" s="29" t="n">
        <v>5</v>
      </c>
      <c r="L77" s="29">
        <f>+K77+J77</f>
        <v/>
      </c>
    </row>
    <row r="78" ht="13" customFormat="1" customHeight="1" s="14">
      <c r="B78" s="14" t="n">
        <v>73</v>
      </c>
      <c r="C78" s="27" t="n">
        <v>45047</v>
      </c>
      <c r="D78" s="14" t="n">
        <v>1</v>
      </c>
      <c r="E78" s="14" t="inlineStr">
        <is>
          <t>DRUG</t>
        </is>
      </c>
      <c r="F78" s="28" t="n">
        <v>36</v>
      </c>
      <c r="G78" s="28" t="n">
        <v>37</v>
      </c>
      <c r="H78" s="28" t="n">
        <v>73</v>
      </c>
      <c r="I78" s="30" t="n">
        <v>45587</v>
      </c>
      <c r="J78" s="29" t="n">
        <v>7</v>
      </c>
      <c r="K78" s="29" t="n">
        <v>5</v>
      </c>
      <c r="L78" s="29">
        <f>+K78+J78</f>
        <v/>
      </c>
    </row>
    <row r="79" ht="13" customFormat="1" customHeight="1" s="14">
      <c r="B79" s="14" t="n">
        <v>74</v>
      </c>
      <c r="C79" s="27" t="n">
        <v>45078</v>
      </c>
      <c r="D79" s="14" t="n">
        <v>1</v>
      </c>
      <c r="E79" s="14" t="inlineStr">
        <is>
          <t>DRUG</t>
        </is>
      </c>
      <c r="F79" s="28" t="n">
        <v>37</v>
      </c>
      <c r="G79" s="28" t="n">
        <v>37</v>
      </c>
      <c r="H79" s="28" t="n">
        <v>74</v>
      </c>
      <c r="I79" s="30" t="n">
        <v>45618</v>
      </c>
      <c r="J79" s="29" t="n">
        <v>8</v>
      </c>
      <c r="K79" s="29" t="n">
        <v>5</v>
      </c>
      <c r="L79" s="29">
        <f>+K79+J79</f>
        <v/>
      </c>
    </row>
    <row r="80" ht="13" customFormat="1" customHeight="1" s="14">
      <c r="B80" s="14" t="n">
        <v>75</v>
      </c>
      <c r="C80" s="27" t="n">
        <v>45078</v>
      </c>
      <c r="D80" s="14" t="n">
        <v>0</v>
      </c>
      <c r="E80" s="14" t="inlineStr">
        <is>
          <t>PLACEBO</t>
        </is>
      </c>
      <c r="F80" s="28" t="n">
        <v>37</v>
      </c>
      <c r="G80" s="28" t="n">
        <v>38</v>
      </c>
      <c r="H80" s="28" t="n">
        <v>75</v>
      </c>
      <c r="I80" s="30" t="n">
        <v>45618</v>
      </c>
      <c r="J80" s="29" t="n">
        <v>8</v>
      </c>
      <c r="K80" s="29" t="n">
        <v>5</v>
      </c>
      <c r="L80" s="29">
        <f>+K80+J80</f>
        <v/>
      </c>
    </row>
    <row r="81" ht="13" customFormat="1" customHeight="1" s="14">
      <c r="B81" s="14" t="n">
        <v>76</v>
      </c>
      <c r="C81" s="27" t="n">
        <v>45078</v>
      </c>
      <c r="D81" s="14" t="n">
        <v>1</v>
      </c>
      <c r="E81" s="14" t="inlineStr">
        <is>
          <t>DRUG</t>
        </is>
      </c>
      <c r="F81" s="28" t="n">
        <v>38</v>
      </c>
      <c r="G81" s="28" t="n">
        <v>38</v>
      </c>
      <c r="H81" s="28" t="n">
        <v>76</v>
      </c>
      <c r="I81" s="30" t="n">
        <v>45618</v>
      </c>
      <c r="J81" s="29" t="n">
        <v>8</v>
      </c>
      <c r="K81" s="29" t="n">
        <v>5</v>
      </c>
      <c r="L81" s="29">
        <f>+K81+J81</f>
        <v/>
      </c>
    </row>
    <row r="82" ht="13" customFormat="1" customHeight="1" s="14">
      <c r="B82" s="14" t="n">
        <v>77</v>
      </c>
      <c r="C82" s="27" t="n">
        <v>45078</v>
      </c>
      <c r="D82" s="14" t="n">
        <v>0</v>
      </c>
      <c r="E82" s="14" t="inlineStr">
        <is>
          <t>PLACEBO</t>
        </is>
      </c>
      <c r="F82" s="28" t="n">
        <v>38</v>
      </c>
      <c r="G82" s="28" t="n">
        <v>39</v>
      </c>
      <c r="H82" s="28" t="n">
        <v>77</v>
      </c>
      <c r="I82" s="30" t="n">
        <v>45618</v>
      </c>
      <c r="J82" s="29" t="n">
        <v>8</v>
      </c>
      <c r="K82" s="29" t="n">
        <v>5</v>
      </c>
      <c r="L82" s="29">
        <f>+K82+J82</f>
        <v/>
      </c>
    </row>
    <row r="83" ht="13" customFormat="1" customHeight="1" s="14">
      <c r="B83" s="14" t="n">
        <v>78</v>
      </c>
      <c r="C83" s="27" t="n">
        <v>45078</v>
      </c>
      <c r="D83" s="14" t="n">
        <v>0</v>
      </c>
      <c r="E83" s="14" t="inlineStr">
        <is>
          <t>PLACEBO</t>
        </is>
      </c>
      <c r="F83" s="28" t="n">
        <v>38</v>
      </c>
      <c r="G83" s="28" t="n">
        <v>40</v>
      </c>
      <c r="H83" s="28" t="n">
        <v>78</v>
      </c>
      <c r="I83" s="30" t="n">
        <v>45618</v>
      </c>
      <c r="J83" s="29" t="n">
        <v>8</v>
      </c>
      <c r="K83" s="29" t="n">
        <v>5</v>
      </c>
      <c r="L83" s="29">
        <f>+K83+J83</f>
        <v/>
      </c>
    </row>
    <row r="84" ht="13" customFormat="1" customHeight="1" s="14">
      <c r="B84" s="14" t="n">
        <v>79</v>
      </c>
      <c r="C84" s="27" t="n">
        <v>45108</v>
      </c>
      <c r="D84" s="14" t="n">
        <v>0</v>
      </c>
      <c r="E84" s="14" t="inlineStr">
        <is>
          <t>PLACEBO</t>
        </is>
      </c>
      <c r="F84" s="28" t="n">
        <v>38</v>
      </c>
      <c r="G84" s="28" t="n">
        <v>41</v>
      </c>
      <c r="H84" s="28" t="n">
        <v>79</v>
      </c>
      <c r="I84" s="30" t="n">
        <v>45648</v>
      </c>
      <c r="J84" s="29" t="n">
        <v>8</v>
      </c>
      <c r="K84" s="29" t="n">
        <v>6</v>
      </c>
      <c r="L84" s="29">
        <f>+K84+J84</f>
        <v/>
      </c>
    </row>
    <row r="85" ht="13" customFormat="1" customHeight="1" s="14">
      <c r="B85" s="14" t="n">
        <v>80</v>
      </c>
      <c r="C85" s="27" t="n">
        <v>45108</v>
      </c>
      <c r="D85" s="14" t="n">
        <v>0</v>
      </c>
      <c r="E85" s="14" t="inlineStr">
        <is>
          <t>PLACEBO</t>
        </is>
      </c>
      <c r="F85" s="28" t="n">
        <v>38</v>
      </c>
      <c r="G85" s="28" t="n">
        <v>42</v>
      </c>
      <c r="H85" s="28" t="n">
        <v>80</v>
      </c>
      <c r="I85" s="30" t="n">
        <v>45648</v>
      </c>
      <c r="J85" s="29" t="n">
        <v>8</v>
      </c>
      <c r="K85" s="29" t="n">
        <v>6</v>
      </c>
      <c r="L85" s="29">
        <f>+K85+J85</f>
        <v/>
      </c>
    </row>
    <row r="86" ht="13" customFormat="1" customHeight="1" s="14">
      <c r="B86" s="14" t="n">
        <v>81</v>
      </c>
      <c r="C86" s="27" t="n">
        <v>45108</v>
      </c>
      <c r="D86" s="14" t="n">
        <v>1</v>
      </c>
      <c r="E86" s="14" t="inlineStr">
        <is>
          <t>DRUG</t>
        </is>
      </c>
      <c r="F86" s="28" t="n">
        <v>39</v>
      </c>
      <c r="G86" s="28" t="n">
        <v>42</v>
      </c>
      <c r="H86" s="28" t="n">
        <v>81</v>
      </c>
      <c r="I86" s="30" t="n">
        <v>45648</v>
      </c>
      <c r="J86" s="29" t="n">
        <v>8</v>
      </c>
      <c r="K86" s="29" t="n">
        <v>6</v>
      </c>
      <c r="L86" s="29">
        <f>+K86+J86</f>
        <v/>
      </c>
    </row>
    <row r="87" ht="13" customFormat="1" customHeight="1" s="14">
      <c r="B87" s="14" t="n">
        <v>82</v>
      </c>
      <c r="C87" s="27" t="n">
        <v>45108</v>
      </c>
      <c r="D87" s="14" t="n">
        <v>1</v>
      </c>
      <c r="E87" s="14" t="inlineStr">
        <is>
          <t>DRUG</t>
        </is>
      </c>
      <c r="F87" s="28" t="n">
        <v>40</v>
      </c>
      <c r="G87" s="28" t="n">
        <v>42</v>
      </c>
      <c r="H87" s="28" t="n">
        <v>82</v>
      </c>
      <c r="I87" s="30" t="n">
        <v>45648</v>
      </c>
      <c r="J87" s="29" t="n">
        <v>8</v>
      </c>
      <c r="K87" s="29" t="n">
        <v>6</v>
      </c>
      <c r="L87" s="29">
        <f>+K87+J87</f>
        <v/>
      </c>
    </row>
    <row r="88" ht="13" customFormat="1" customHeight="1" s="14">
      <c r="B88" s="14" t="n">
        <v>83</v>
      </c>
      <c r="C88" s="27" t="n">
        <v>45108</v>
      </c>
      <c r="D88" s="14" t="n">
        <v>0</v>
      </c>
      <c r="E88" s="14" t="inlineStr">
        <is>
          <t>PLACEBO</t>
        </is>
      </c>
      <c r="F88" s="28" t="n">
        <v>40</v>
      </c>
      <c r="G88" s="28" t="n">
        <v>43</v>
      </c>
      <c r="H88" s="28" t="n">
        <v>83</v>
      </c>
      <c r="I88" s="30" t="n">
        <v>45648</v>
      </c>
      <c r="J88" s="29" t="n">
        <v>8</v>
      </c>
      <c r="K88" s="29" t="n">
        <v>6</v>
      </c>
      <c r="L88" s="29">
        <f>+K88+J88</f>
        <v/>
      </c>
    </row>
    <row r="89">
      <c r="B89" t="n">
        <v>84</v>
      </c>
      <c r="C89" s="26" t="n">
        <v>45139</v>
      </c>
      <c r="D89" t="n">
        <v>1</v>
      </c>
      <c r="E89" t="inlineStr">
        <is>
          <t>DRUG</t>
        </is>
      </c>
      <c r="F89" s="2" t="n">
        <v>41</v>
      </c>
      <c r="G89" s="2" t="n">
        <v>43</v>
      </c>
      <c r="H89" s="2" t="n">
        <v>84</v>
      </c>
      <c r="I89" s="31" t="n">
        <v>45679</v>
      </c>
      <c r="J89" s="32" t="n">
        <v>8</v>
      </c>
      <c r="K89" s="32" t="n">
        <v>7</v>
      </c>
      <c r="L89" s="32">
        <f>+K89+J89</f>
        <v/>
      </c>
    </row>
    <row r="90">
      <c r="B90" t="n">
        <v>85</v>
      </c>
      <c r="C90" s="26" t="n">
        <v>45139</v>
      </c>
      <c r="D90" t="n">
        <v>0</v>
      </c>
      <c r="E90" t="inlineStr">
        <is>
          <t>PLACEBO</t>
        </is>
      </c>
      <c r="F90" s="2" t="n">
        <v>41</v>
      </c>
      <c r="G90" s="2" t="n">
        <v>44</v>
      </c>
      <c r="H90" s="2" t="n">
        <v>85</v>
      </c>
      <c r="I90" s="31" t="n">
        <v>45679</v>
      </c>
      <c r="J90" s="32" t="n">
        <v>9</v>
      </c>
      <c r="K90" s="32" t="n">
        <v>7</v>
      </c>
      <c r="L90" s="32">
        <f>+K90+J90</f>
        <v/>
      </c>
    </row>
    <row r="91">
      <c r="B91" t="n">
        <v>86</v>
      </c>
      <c r="C91" s="26" t="n">
        <v>45139</v>
      </c>
      <c r="D91" t="n">
        <v>0</v>
      </c>
      <c r="E91" t="inlineStr">
        <is>
          <t>PLACEBO</t>
        </is>
      </c>
      <c r="F91" s="2" t="n">
        <v>41</v>
      </c>
      <c r="G91" s="2" t="n">
        <v>45</v>
      </c>
      <c r="H91" s="2" t="n">
        <v>86</v>
      </c>
      <c r="I91" s="31" t="n">
        <v>45679</v>
      </c>
      <c r="J91" s="32" t="n">
        <v>9</v>
      </c>
      <c r="K91" s="32" t="n">
        <v>7</v>
      </c>
      <c r="L91" s="32">
        <f>+K91+J91</f>
        <v/>
      </c>
    </row>
    <row r="92">
      <c r="B92" t="n">
        <v>87</v>
      </c>
      <c r="C92" s="26" t="n">
        <v>45139</v>
      </c>
      <c r="D92" t="n">
        <v>0</v>
      </c>
      <c r="E92" t="inlineStr">
        <is>
          <t>PLACEBO</t>
        </is>
      </c>
      <c r="F92" s="2" t="n">
        <v>41</v>
      </c>
      <c r="G92" s="2" t="n">
        <v>46</v>
      </c>
      <c r="H92" s="2" t="n">
        <v>87</v>
      </c>
      <c r="I92" s="31" t="n">
        <v>45679</v>
      </c>
      <c r="J92" s="32" t="n">
        <v>9</v>
      </c>
      <c r="K92" s="32" t="n">
        <v>7</v>
      </c>
      <c r="L92" s="32">
        <f>+K92+J92</f>
        <v/>
      </c>
    </row>
    <row r="93">
      <c r="B93" t="n">
        <v>88</v>
      </c>
      <c r="C93" s="26" t="n">
        <v>45139</v>
      </c>
      <c r="D93" t="n">
        <v>1</v>
      </c>
      <c r="E93" t="inlineStr">
        <is>
          <t>DRUG</t>
        </is>
      </c>
      <c r="F93" s="2" t="n">
        <v>42</v>
      </c>
      <c r="G93" s="2" t="n">
        <v>46</v>
      </c>
      <c r="H93" s="2" t="n">
        <v>88</v>
      </c>
      <c r="I93" s="31" t="n">
        <v>45679</v>
      </c>
      <c r="J93" s="32" t="n">
        <v>9</v>
      </c>
      <c r="K93" s="32" t="n">
        <v>7</v>
      </c>
      <c r="L93" s="32">
        <f>+K93+J93</f>
        <v/>
      </c>
    </row>
    <row r="94">
      <c r="B94" t="n">
        <v>89</v>
      </c>
      <c r="C94" s="26" t="n">
        <v>45170</v>
      </c>
      <c r="D94" t="n">
        <v>1</v>
      </c>
      <c r="E94" t="inlineStr">
        <is>
          <t>DRUG</t>
        </is>
      </c>
      <c r="F94" s="2" t="n">
        <v>43</v>
      </c>
      <c r="G94" s="2" t="n">
        <v>46</v>
      </c>
      <c r="H94" s="2" t="n">
        <v>89</v>
      </c>
      <c r="I94" s="31" t="n">
        <v>45710</v>
      </c>
      <c r="J94" s="32" t="n">
        <v>9</v>
      </c>
      <c r="K94" s="32" t="n">
        <v>7</v>
      </c>
      <c r="L94" s="32">
        <f>+K94+J94</f>
        <v/>
      </c>
    </row>
    <row r="95">
      <c r="B95" t="n">
        <v>90</v>
      </c>
      <c r="C95" s="26" t="n">
        <v>45170</v>
      </c>
      <c r="D95" t="n">
        <v>0</v>
      </c>
      <c r="E95" t="inlineStr">
        <is>
          <t>PLACEBO</t>
        </is>
      </c>
      <c r="F95" s="2" t="n">
        <v>43</v>
      </c>
      <c r="G95" s="2" t="n">
        <v>47</v>
      </c>
      <c r="H95" s="2" t="n">
        <v>90</v>
      </c>
      <c r="I95" s="31" t="n">
        <v>45710</v>
      </c>
      <c r="J95" s="32" t="n">
        <v>10</v>
      </c>
      <c r="K95" s="32" t="n">
        <v>7</v>
      </c>
      <c r="L95" s="32">
        <f>+K95+J95</f>
        <v/>
      </c>
    </row>
    <row r="96">
      <c r="B96" t="n">
        <v>91</v>
      </c>
      <c r="C96" s="26" t="n">
        <v>45170</v>
      </c>
      <c r="D96" t="n">
        <v>1</v>
      </c>
      <c r="E96" t="inlineStr">
        <is>
          <t>DRUG</t>
        </is>
      </c>
      <c r="F96" s="2" t="n">
        <v>44</v>
      </c>
      <c r="G96" s="2" t="n">
        <v>47</v>
      </c>
      <c r="H96" s="2" t="n">
        <v>91</v>
      </c>
      <c r="I96" s="31" t="n">
        <v>45710</v>
      </c>
      <c r="J96" s="32" t="n">
        <v>10</v>
      </c>
      <c r="K96" s="32" t="n">
        <v>8</v>
      </c>
      <c r="L96" s="32">
        <f>+K96+J96</f>
        <v/>
      </c>
    </row>
    <row r="97">
      <c r="B97" t="n">
        <v>92</v>
      </c>
      <c r="C97" s="26" t="n">
        <v>45170</v>
      </c>
      <c r="D97" t="n">
        <v>1</v>
      </c>
      <c r="E97" t="inlineStr">
        <is>
          <t>DRUG</t>
        </is>
      </c>
      <c r="F97" s="2" t="n">
        <v>45</v>
      </c>
      <c r="G97" s="2" t="n">
        <v>47</v>
      </c>
      <c r="H97" s="2" t="n">
        <v>92</v>
      </c>
      <c r="I97" s="31" t="n">
        <v>45710</v>
      </c>
      <c r="J97" s="32" t="n">
        <v>10</v>
      </c>
      <c r="K97" s="32" t="n">
        <v>8</v>
      </c>
      <c r="L97" s="32">
        <f>+K97+J97</f>
        <v/>
      </c>
    </row>
    <row r="98">
      <c r="B98" t="n">
        <v>93</v>
      </c>
      <c r="C98" s="26" t="n">
        <v>45170</v>
      </c>
      <c r="D98" t="n">
        <v>1</v>
      </c>
      <c r="E98" t="inlineStr">
        <is>
          <t>DRUG</t>
        </is>
      </c>
      <c r="F98" s="2" t="n">
        <v>46</v>
      </c>
      <c r="G98" s="2" t="n">
        <v>47</v>
      </c>
      <c r="H98" s="2" t="n">
        <v>93</v>
      </c>
      <c r="I98" s="31" t="n">
        <v>45710</v>
      </c>
      <c r="J98" s="32" t="n">
        <v>10</v>
      </c>
      <c r="K98" s="32" t="n">
        <v>8</v>
      </c>
      <c r="L98" s="32">
        <f>+K98+J98</f>
        <v/>
      </c>
    </row>
    <row r="99">
      <c r="B99" t="n">
        <v>94</v>
      </c>
      <c r="C99" s="26" t="n">
        <v>45200</v>
      </c>
      <c r="D99" t="n">
        <v>0</v>
      </c>
      <c r="E99" t="inlineStr">
        <is>
          <t>PLACEBO</t>
        </is>
      </c>
      <c r="F99" s="2" t="n">
        <v>46</v>
      </c>
      <c r="G99" s="2" t="n">
        <v>48</v>
      </c>
      <c r="H99" s="2" t="n">
        <v>94</v>
      </c>
      <c r="I99" s="31" t="n">
        <v>45740</v>
      </c>
      <c r="J99" s="32" t="n">
        <v>11</v>
      </c>
      <c r="K99" s="32" t="n">
        <v>8</v>
      </c>
      <c r="L99" s="32">
        <f>+K99+J99</f>
        <v/>
      </c>
    </row>
    <row r="100">
      <c r="B100" t="n">
        <v>95</v>
      </c>
      <c r="C100" s="26" t="n">
        <v>45200</v>
      </c>
      <c r="D100" t="n">
        <v>0</v>
      </c>
      <c r="E100" t="inlineStr">
        <is>
          <t>PLACEBO</t>
        </is>
      </c>
      <c r="F100" s="2" t="n">
        <v>46</v>
      </c>
      <c r="G100" s="2" t="n">
        <v>49</v>
      </c>
      <c r="H100" s="2" t="n">
        <v>95</v>
      </c>
      <c r="I100" s="31" t="n">
        <v>45740</v>
      </c>
      <c r="J100" s="32" t="n">
        <v>12</v>
      </c>
      <c r="K100" s="32" t="n">
        <v>8</v>
      </c>
      <c r="L100" s="32">
        <f>+K100+J100</f>
        <v/>
      </c>
    </row>
    <row r="101">
      <c r="B101" t="n">
        <v>96</v>
      </c>
      <c r="C101" s="26" t="n">
        <v>45200</v>
      </c>
      <c r="D101" t="n">
        <v>1</v>
      </c>
      <c r="E101" t="inlineStr">
        <is>
          <t>DRUG</t>
        </is>
      </c>
      <c r="F101" s="2" t="n">
        <v>47</v>
      </c>
      <c r="G101" s="2" t="n">
        <v>49</v>
      </c>
      <c r="H101" s="2" t="n">
        <v>96</v>
      </c>
      <c r="I101" s="31" t="n">
        <v>45740</v>
      </c>
      <c r="J101" s="32" t="n">
        <v>13</v>
      </c>
      <c r="K101" s="32" t="n">
        <v>8</v>
      </c>
      <c r="L101" s="32">
        <f>+K101+J101</f>
        <v/>
      </c>
    </row>
    <row r="102">
      <c r="B102" t="n">
        <v>97</v>
      </c>
      <c r="C102" s="26" t="n">
        <v>45200</v>
      </c>
      <c r="D102" t="n">
        <v>1</v>
      </c>
      <c r="E102" t="inlineStr">
        <is>
          <t>DRUG</t>
        </is>
      </c>
      <c r="F102" s="2" t="n">
        <v>48</v>
      </c>
      <c r="G102" s="2" t="n">
        <v>49</v>
      </c>
      <c r="H102" s="2" t="n">
        <v>97</v>
      </c>
      <c r="I102" s="31" t="n">
        <v>45740</v>
      </c>
      <c r="J102" s="32" t="n">
        <v>13</v>
      </c>
      <c r="K102" s="32" t="n">
        <v>8</v>
      </c>
      <c r="L102" s="32">
        <f>+K102+J102</f>
        <v/>
      </c>
    </row>
    <row r="103">
      <c r="B103" t="n">
        <v>98</v>
      </c>
      <c r="C103" s="26" t="n">
        <v>45200</v>
      </c>
      <c r="D103" t="n">
        <v>0</v>
      </c>
      <c r="E103" t="inlineStr">
        <is>
          <t>PLACEBO</t>
        </is>
      </c>
      <c r="F103" s="2" t="n">
        <v>48</v>
      </c>
      <c r="G103" s="2" t="n">
        <v>50</v>
      </c>
      <c r="H103" s="2" t="n">
        <v>98</v>
      </c>
      <c r="I103" s="31" t="n">
        <v>45740</v>
      </c>
      <c r="J103" s="32" t="n">
        <v>13</v>
      </c>
      <c r="K103" s="32" t="n">
        <v>8</v>
      </c>
      <c r="L103" s="32">
        <f>+K103+J103</f>
        <v/>
      </c>
    </row>
    <row r="104">
      <c r="B104" t="n">
        <v>99</v>
      </c>
      <c r="C104" s="26" t="n">
        <v>45231</v>
      </c>
      <c r="D104" t="n">
        <v>0</v>
      </c>
      <c r="E104" t="inlineStr">
        <is>
          <t>PLACEBO</t>
        </is>
      </c>
      <c r="F104" s="2" t="n">
        <v>48</v>
      </c>
      <c r="G104" s="2" t="n">
        <v>51</v>
      </c>
      <c r="H104" s="2" t="n">
        <v>99</v>
      </c>
      <c r="I104" s="31" t="n">
        <v>45771</v>
      </c>
      <c r="J104" s="32" t="n">
        <v>14</v>
      </c>
      <c r="K104" s="32" t="n">
        <v>8</v>
      </c>
      <c r="L104" s="32">
        <f>+K104+J104</f>
        <v/>
      </c>
    </row>
    <row r="105">
      <c r="B105" t="n">
        <v>100</v>
      </c>
      <c r="C105" s="26" t="n">
        <v>45231</v>
      </c>
      <c r="D105" t="n">
        <v>0</v>
      </c>
      <c r="E105" t="inlineStr">
        <is>
          <t>PLACEBO</t>
        </is>
      </c>
      <c r="F105" s="2" t="n">
        <v>48</v>
      </c>
      <c r="G105" s="2" t="n">
        <v>52</v>
      </c>
      <c r="H105" s="2" t="n">
        <v>100</v>
      </c>
      <c r="I105" s="31" t="n">
        <v>45771</v>
      </c>
      <c r="J105" s="32" t="n">
        <v>14</v>
      </c>
      <c r="K105" s="32" t="n">
        <v>9</v>
      </c>
      <c r="L105" s="32">
        <f>+K105+J105</f>
        <v/>
      </c>
    </row>
    <row r="106">
      <c r="B106" t="n">
        <v>101</v>
      </c>
      <c r="C106" s="26" t="n">
        <v>45231</v>
      </c>
      <c r="D106" t="n">
        <v>1</v>
      </c>
      <c r="E106" t="inlineStr">
        <is>
          <t>DRUG</t>
        </is>
      </c>
      <c r="F106" s="2" t="n">
        <v>49</v>
      </c>
      <c r="G106" s="2" t="n">
        <v>52</v>
      </c>
      <c r="H106" s="2" t="n">
        <v>101</v>
      </c>
      <c r="I106" s="31" t="n">
        <v>45771</v>
      </c>
      <c r="J106" s="32" t="n">
        <v>15</v>
      </c>
      <c r="K106" s="32" t="n">
        <v>9</v>
      </c>
      <c r="L106" s="32">
        <f>+K106+J106</f>
        <v/>
      </c>
    </row>
    <row r="107">
      <c r="B107" t="n">
        <v>102</v>
      </c>
      <c r="C107" s="26" t="n">
        <v>45231</v>
      </c>
      <c r="D107" t="n">
        <v>0</v>
      </c>
      <c r="E107" t="inlineStr">
        <is>
          <t>PLACEBO</t>
        </is>
      </c>
      <c r="F107" s="2" t="n">
        <v>49</v>
      </c>
      <c r="G107" s="2" t="n">
        <v>53</v>
      </c>
      <c r="H107" s="2" t="n">
        <v>102</v>
      </c>
      <c r="I107" s="31" t="n">
        <v>45771</v>
      </c>
      <c r="J107" s="32" t="n">
        <v>15</v>
      </c>
      <c r="K107" s="32" t="n">
        <v>9</v>
      </c>
      <c r="L107" s="32">
        <f>+K107+J107</f>
        <v/>
      </c>
    </row>
    <row r="108">
      <c r="B108" t="n">
        <v>103</v>
      </c>
      <c r="C108" s="26" t="n">
        <v>45231</v>
      </c>
      <c r="D108" t="n">
        <v>1</v>
      </c>
      <c r="E108" t="inlineStr">
        <is>
          <t>DRUG</t>
        </is>
      </c>
      <c r="F108" s="2" t="n">
        <v>50</v>
      </c>
      <c r="G108" s="2" t="n">
        <v>53</v>
      </c>
      <c r="H108" s="2" t="n">
        <v>103</v>
      </c>
      <c r="I108" s="31" t="n">
        <v>45771</v>
      </c>
      <c r="J108" s="32" t="n">
        <v>15</v>
      </c>
      <c r="K108" s="32" t="n">
        <v>9</v>
      </c>
      <c r="L108" s="32">
        <f>+K108+J108</f>
        <v/>
      </c>
    </row>
    <row r="109">
      <c r="B109" t="n">
        <v>104</v>
      </c>
      <c r="C109" s="26" t="n">
        <v>45261</v>
      </c>
      <c r="D109" t="n">
        <v>0</v>
      </c>
      <c r="E109" t="inlineStr">
        <is>
          <t>PLACEBO</t>
        </is>
      </c>
      <c r="F109" s="2" t="n">
        <v>50</v>
      </c>
      <c r="G109" s="2" t="n">
        <v>54</v>
      </c>
      <c r="H109" s="2" t="n">
        <v>104</v>
      </c>
      <c r="I109" s="31" t="n">
        <v>45801</v>
      </c>
      <c r="J109" s="32" t="n">
        <v>15</v>
      </c>
      <c r="K109" s="32" t="n">
        <v>10</v>
      </c>
      <c r="L109" s="32">
        <f>+K109+J109</f>
        <v/>
      </c>
    </row>
    <row r="110">
      <c r="B110" t="n">
        <v>105</v>
      </c>
      <c r="C110" s="26" t="n">
        <v>45261</v>
      </c>
      <c r="D110" t="n">
        <v>0</v>
      </c>
      <c r="E110" t="inlineStr">
        <is>
          <t>PLACEBO</t>
        </is>
      </c>
      <c r="F110" s="2" t="n">
        <v>50</v>
      </c>
      <c r="G110" s="2" t="n">
        <v>55</v>
      </c>
      <c r="H110" s="2" t="n">
        <v>105</v>
      </c>
      <c r="I110" s="31" t="n">
        <v>45801</v>
      </c>
      <c r="J110" s="32" t="n">
        <v>15</v>
      </c>
      <c r="K110" s="32" t="n">
        <v>11</v>
      </c>
      <c r="L110" s="32">
        <f>+K110+J110</f>
        <v/>
      </c>
    </row>
    <row r="111">
      <c r="B111" t="n">
        <v>106</v>
      </c>
      <c r="C111" s="26" t="n">
        <v>45261</v>
      </c>
      <c r="D111" t="n">
        <v>1</v>
      </c>
      <c r="E111" t="inlineStr">
        <is>
          <t>DRUG</t>
        </is>
      </c>
      <c r="F111" s="2" t="n">
        <v>51</v>
      </c>
      <c r="G111" s="2" t="n">
        <v>55</v>
      </c>
      <c r="H111" s="2" t="n">
        <v>106</v>
      </c>
      <c r="I111" s="31" t="n">
        <v>45801</v>
      </c>
      <c r="J111" s="32" t="n">
        <v>15</v>
      </c>
      <c r="K111" s="32" t="n">
        <v>11</v>
      </c>
      <c r="L111" s="32">
        <f>+K111+J111</f>
        <v/>
      </c>
    </row>
    <row r="112">
      <c r="B112" t="n">
        <v>107</v>
      </c>
      <c r="C112" s="26" t="n">
        <v>45261</v>
      </c>
      <c r="D112" t="n">
        <v>1</v>
      </c>
      <c r="E112" t="inlineStr">
        <is>
          <t>DRUG</t>
        </is>
      </c>
      <c r="F112" s="2" t="n">
        <v>52</v>
      </c>
      <c r="G112" s="2" t="n">
        <v>55</v>
      </c>
      <c r="H112" s="2" t="n">
        <v>107</v>
      </c>
      <c r="I112" s="31" t="n">
        <v>45801</v>
      </c>
      <c r="J112" s="32" t="n">
        <v>15</v>
      </c>
      <c r="K112" s="32" t="n">
        <v>11</v>
      </c>
      <c r="L112" s="32">
        <f>+K112+J112</f>
        <v/>
      </c>
    </row>
    <row r="113">
      <c r="B113" t="n">
        <v>108</v>
      </c>
      <c r="C113" s="26" t="n">
        <v>45261</v>
      </c>
      <c r="D113" t="n">
        <v>1</v>
      </c>
      <c r="E113" t="inlineStr">
        <is>
          <t>DRUG</t>
        </is>
      </c>
      <c r="F113" s="2" t="n">
        <v>53</v>
      </c>
      <c r="G113" s="2" t="n">
        <v>55</v>
      </c>
      <c r="H113" s="2" t="n">
        <v>108</v>
      </c>
      <c r="I113" s="31" t="n">
        <v>45801</v>
      </c>
      <c r="J113" s="32" t="n">
        <v>16</v>
      </c>
      <c r="K113" s="32" t="n">
        <v>11</v>
      </c>
      <c r="L113" s="32">
        <f>+K113+J113</f>
        <v/>
      </c>
    </row>
    <row r="114">
      <c r="B114" t="n">
        <v>109</v>
      </c>
      <c r="C114" s="26" t="n">
        <v>45292</v>
      </c>
      <c r="D114" t="n">
        <v>0</v>
      </c>
      <c r="E114" t="inlineStr">
        <is>
          <t>PLACEBO</t>
        </is>
      </c>
      <c r="F114" s="2" t="n">
        <v>53</v>
      </c>
      <c r="G114" s="2" t="n">
        <v>56</v>
      </c>
      <c r="H114" s="2" t="n">
        <v>109</v>
      </c>
      <c r="I114" s="31" t="n">
        <v>45832</v>
      </c>
      <c r="J114" s="32" t="n">
        <v>16</v>
      </c>
      <c r="K114" s="32" t="n">
        <v>12</v>
      </c>
      <c r="L114" s="32">
        <f>+K114+J114</f>
        <v/>
      </c>
    </row>
    <row r="115">
      <c r="B115" t="n">
        <v>110</v>
      </c>
      <c r="C115" s="26" t="n">
        <v>45292</v>
      </c>
      <c r="D115" t="n">
        <v>0</v>
      </c>
      <c r="E115" t="inlineStr">
        <is>
          <t>PLACEBO</t>
        </is>
      </c>
      <c r="F115" s="2" t="n">
        <v>53</v>
      </c>
      <c r="G115" s="2" t="n">
        <v>57</v>
      </c>
      <c r="H115" s="2" t="n">
        <v>110</v>
      </c>
      <c r="I115" s="31" t="n">
        <v>45832</v>
      </c>
      <c r="J115" s="32" t="n">
        <v>17</v>
      </c>
      <c r="K115" s="32" t="n">
        <v>12</v>
      </c>
      <c r="L115" s="32">
        <f>+K115+J115</f>
        <v/>
      </c>
    </row>
    <row r="116">
      <c r="B116" t="n">
        <v>111</v>
      </c>
      <c r="C116" s="26" t="n">
        <v>45292</v>
      </c>
      <c r="D116" t="n">
        <v>0</v>
      </c>
      <c r="E116" t="inlineStr">
        <is>
          <t>PLACEBO</t>
        </is>
      </c>
      <c r="F116" s="2" t="n">
        <v>53</v>
      </c>
      <c r="G116" s="2" t="n">
        <v>58</v>
      </c>
      <c r="H116" s="2" t="n">
        <v>111</v>
      </c>
      <c r="I116" s="31" t="n">
        <v>45832</v>
      </c>
      <c r="J116" s="32" t="n">
        <v>17</v>
      </c>
      <c r="K116" s="32" t="n">
        <v>13</v>
      </c>
      <c r="L116" s="32">
        <f>+K116+J116</f>
        <v/>
      </c>
    </row>
    <row r="117">
      <c r="B117" t="n">
        <v>112</v>
      </c>
      <c r="C117" s="26" t="n">
        <v>45292</v>
      </c>
      <c r="D117" t="n">
        <v>1</v>
      </c>
      <c r="E117" t="inlineStr">
        <is>
          <t>DRUG</t>
        </is>
      </c>
      <c r="F117" s="2" t="n">
        <v>54</v>
      </c>
      <c r="G117" s="2" t="n">
        <v>58</v>
      </c>
      <c r="H117" s="2" t="n">
        <v>112</v>
      </c>
      <c r="I117" s="31" t="n">
        <v>45832</v>
      </c>
      <c r="J117" s="32" t="n">
        <v>17</v>
      </c>
      <c r="K117" s="32" t="n">
        <v>13</v>
      </c>
      <c r="L117" s="32">
        <f>+K117+J117</f>
        <v/>
      </c>
    </row>
    <row r="118">
      <c r="B118" t="n">
        <v>113</v>
      </c>
      <c r="C118" s="26" t="n">
        <v>45292</v>
      </c>
      <c r="D118" t="n">
        <v>0</v>
      </c>
      <c r="E118" t="inlineStr">
        <is>
          <t>PLACEBO</t>
        </is>
      </c>
      <c r="F118" s="2" t="n">
        <v>54</v>
      </c>
      <c r="G118" s="2" t="n">
        <v>59</v>
      </c>
      <c r="H118" s="2" t="n">
        <v>113</v>
      </c>
      <c r="I118" s="31" t="n">
        <v>45832</v>
      </c>
      <c r="J118" s="32" t="n">
        <v>17</v>
      </c>
      <c r="K118" s="32" t="n">
        <v>13</v>
      </c>
      <c r="L118" s="32">
        <f>+K118+J118</f>
        <v/>
      </c>
    </row>
    <row r="119">
      <c r="B119" t="n">
        <v>114</v>
      </c>
      <c r="C119" s="26" t="n">
        <v>45323</v>
      </c>
      <c r="D119" t="n">
        <v>1</v>
      </c>
      <c r="E119" t="inlineStr">
        <is>
          <t>DRUG</t>
        </is>
      </c>
      <c r="F119" s="2" t="n">
        <v>55</v>
      </c>
      <c r="G119" s="2" t="n">
        <v>59</v>
      </c>
      <c r="H119" s="2" t="n">
        <v>114</v>
      </c>
      <c r="I119" s="31" t="n">
        <v>45863</v>
      </c>
      <c r="J119" s="32" t="n">
        <v>17</v>
      </c>
      <c r="K119" s="32" t="n">
        <v>14</v>
      </c>
      <c r="L119" s="32">
        <f>+K119+J119</f>
        <v/>
      </c>
    </row>
    <row r="120">
      <c r="B120" t="n">
        <v>115</v>
      </c>
      <c r="C120" s="26" t="n">
        <v>45323</v>
      </c>
      <c r="D120" t="n">
        <v>1</v>
      </c>
      <c r="E120" t="inlineStr">
        <is>
          <t>DRUG</t>
        </is>
      </c>
      <c r="F120" s="2" t="n">
        <v>56</v>
      </c>
      <c r="G120" s="2" t="n">
        <v>59</v>
      </c>
      <c r="H120" s="2" t="n">
        <v>115</v>
      </c>
      <c r="I120" s="31" t="n">
        <v>45863</v>
      </c>
      <c r="J120" s="32" t="n">
        <v>18</v>
      </c>
      <c r="K120" s="32" t="n">
        <v>14</v>
      </c>
      <c r="L120" s="32">
        <f>+K120+J120</f>
        <v/>
      </c>
    </row>
    <row r="121">
      <c r="B121" t="n">
        <v>116</v>
      </c>
      <c r="C121" s="26" t="n">
        <v>45323</v>
      </c>
      <c r="D121" t="n">
        <v>0</v>
      </c>
      <c r="E121" t="inlineStr">
        <is>
          <t>PLACEBO</t>
        </is>
      </c>
      <c r="F121" s="2" t="n">
        <v>56</v>
      </c>
      <c r="G121" s="2" t="n">
        <v>60</v>
      </c>
      <c r="H121" s="2" t="n">
        <v>116</v>
      </c>
      <c r="I121" s="31" t="n">
        <v>45863</v>
      </c>
      <c r="J121" s="32" t="n">
        <v>19</v>
      </c>
      <c r="K121" s="32" t="n">
        <v>14</v>
      </c>
      <c r="L121" s="32">
        <f>+K121+J121</f>
        <v/>
      </c>
    </row>
    <row r="122">
      <c r="B122" t="n">
        <v>117</v>
      </c>
      <c r="C122" s="26" t="n">
        <v>45323</v>
      </c>
      <c r="D122" t="n">
        <v>0</v>
      </c>
      <c r="E122" t="inlineStr">
        <is>
          <t>PLACEBO</t>
        </is>
      </c>
      <c r="F122" s="2" t="n">
        <v>56</v>
      </c>
      <c r="G122" s="2" t="n">
        <v>61</v>
      </c>
      <c r="H122" s="2" t="n">
        <v>117</v>
      </c>
      <c r="I122" s="31" t="n">
        <v>45863</v>
      </c>
      <c r="J122" s="32" t="n">
        <v>19</v>
      </c>
      <c r="K122" s="32" t="n">
        <v>15</v>
      </c>
      <c r="L122" s="32">
        <f>+K122+J122</f>
        <v/>
      </c>
    </row>
    <row r="123">
      <c r="B123" t="n">
        <v>118</v>
      </c>
      <c r="C123" s="26" t="n">
        <v>45323</v>
      </c>
      <c r="D123" t="n">
        <v>1</v>
      </c>
      <c r="E123" t="inlineStr">
        <is>
          <t>DRUG</t>
        </is>
      </c>
      <c r="F123" s="2" t="n">
        <v>57</v>
      </c>
      <c r="G123" s="2" t="n">
        <v>61</v>
      </c>
      <c r="H123" s="2" t="n">
        <v>118</v>
      </c>
      <c r="I123" s="31" t="n">
        <v>45863</v>
      </c>
      <c r="J123" s="32" t="n">
        <v>19</v>
      </c>
      <c r="K123" s="32" t="n">
        <v>15</v>
      </c>
      <c r="L123" s="32">
        <f>+K123+J123</f>
        <v/>
      </c>
    </row>
    <row r="124">
      <c r="B124" t="n">
        <v>119</v>
      </c>
      <c r="C124" s="26" t="n">
        <v>45352</v>
      </c>
      <c r="D124" t="n">
        <v>0</v>
      </c>
      <c r="E124" t="inlineStr">
        <is>
          <t>PLACEBO</t>
        </is>
      </c>
      <c r="F124" s="2" t="n">
        <v>57</v>
      </c>
      <c r="G124" s="2" t="n">
        <v>62</v>
      </c>
      <c r="H124" s="2" t="n">
        <v>119</v>
      </c>
      <c r="I124" s="31" t="n">
        <v>45892</v>
      </c>
      <c r="J124" s="32" t="n">
        <v>20</v>
      </c>
      <c r="K124" s="32" t="n">
        <v>15</v>
      </c>
      <c r="L124" s="32">
        <f>+K124+J124</f>
        <v/>
      </c>
    </row>
    <row r="125">
      <c r="B125" t="n">
        <v>120</v>
      </c>
      <c r="C125" s="26" t="n">
        <v>45352</v>
      </c>
      <c r="D125" t="n">
        <v>1</v>
      </c>
      <c r="E125" t="inlineStr">
        <is>
          <t>DRUG</t>
        </is>
      </c>
      <c r="F125" s="2" t="n">
        <v>58</v>
      </c>
      <c r="G125" s="2" t="n">
        <v>62</v>
      </c>
      <c r="H125" s="2" t="n">
        <v>120</v>
      </c>
      <c r="I125" s="31" t="n">
        <v>45892</v>
      </c>
      <c r="J125" s="32" t="n">
        <v>21</v>
      </c>
      <c r="K125" s="32" t="n">
        <v>15</v>
      </c>
      <c r="L125" s="32">
        <f>+K125+J125</f>
        <v/>
      </c>
    </row>
    <row r="126">
      <c r="B126" t="n">
        <v>121</v>
      </c>
      <c r="C126" s="26" t="n">
        <v>45352</v>
      </c>
      <c r="D126" t="n">
        <v>0</v>
      </c>
      <c r="E126" t="inlineStr">
        <is>
          <t>PLACEBO</t>
        </is>
      </c>
      <c r="F126" s="2" t="n">
        <v>58</v>
      </c>
      <c r="G126" s="2" t="n">
        <v>63</v>
      </c>
      <c r="H126" s="2" t="n">
        <v>121</v>
      </c>
      <c r="I126" s="31" t="n">
        <v>45892</v>
      </c>
      <c r="J126" s="32" t="n">
        <v>22</v>
      </c>
      <c r="K126" s="32" t="n">
        <v>15</v>
      </c>
      <c r="L126" s="32">
        <f>+K126+J126</f>
        <v/>
      </c>
    </row>
    <row r="127">
      <c r="B127" t="n">
        <v>122</v>
      </c>
      <c r="C127" s="26" t="n">
        <v>45352</v>
      </c>
      <c r="D127" t="n">
        <v>0</v>
      </c>
      <c r="E127" t="inlineStr">
        <is>
          <t>PLACEBO</t>
        </is>
      </c>
      <c r="F127" s="2" t="n">
        <v>58</v>
      </c>
      <c r="G127" s="2" t="n">
        <v>64</v>
      </c>
      <c r="H127" s="2" t="n">
        <v>122</v>
      </c>
      <c r="I127" s="31" t="n">
        <v>45892</v>
      </c>
      <c r="J127" s="32" t="n">
        <v>22</v>
      </c>
      <c r="K127" s="32" t="n">
        <v>16</v>
      </c>
      <c r="L127" s="32">
        <f>+K127+J127</f>
        <v/>
      </c>
    </row>
    <row r="128">
      <c r="B128" t="n">
        <v>123</v>
      </c>
      <c r="C128" s="26" t="n">
        <v>45352</v>
      </c>
      <c r="D128" t="n">
        <v>0</v>
      </c>
      <c r="E128" t="inlineStr">
        <is>
          <t>PLACEBO</t>
        </is>
      </c>
      <c r="F128" s="2" t="n">
        <v>58</v>
      </c>
      <c r="G128" s="2" t="n">
        <v>65</v>
      </c>
      <c r="H128" s="2" t="n">
        <v>123</v>
      </c>
      <c r="I128" s="31" t="n">
        <v>45892</v>
      </c>
      <c r="J128" s="32" t="n">
        <v>22</v>
      </c>
      <c r="K128" s="32" t="n">
        <v>16</v>
      </c>
      <c r="L128" s="32">
        <f>+K128+J128</f>
        <v/>
      </c>
    </row>
    <row r="129">
      <c r="B129" t="n">
        <v>124</v>
      </c>
      <c r="C129" s="26" t="n">
        <v>45383</v>
      </c>
      <c r="D129" t="n">
        <v>1</v>
      </c>
      <c r="E129" t="inlineStr">
        <is>
          <t>DRUG</t>
        </is>
      </c>
      <c r="F129" s="2" t="n">
        <v>59</v>
      </c>
      <c r="G129" s="2" t="n">
        <v>65</v>
      </c>
      <c r="H129" s="2" t="n">
        <v>124</v>
      </c>
      <c r="I129" s="31" t="n">
        <v>45923</v>
      </c>
      <c r="J129" s="32" t="n">
        <v>23</v>
      </c>
      <c r="K129" s="32" t="n">
        <v>16</v>
      </c>
      <c r="L129" s="32">
        <f>+K129+J129</f>
        <v/>
      </c>
    </row>
    <row r="130">
      <c r="B130" t="n">
        <v>125</v>
      </c>
      <c r="C130" s="26" t="n">
        <v>45383</v>
      </c>
      <c r="D130" t="n">
        <v>0</v>
      </c>
      <c r="E130" t="inlineStr">
        <is>
          <t>PLACEBO</t>
        </is>
      </c>
      <c r="F130" s="2" t="n">
        <v>59</v>
      </c>
      <c r="G130" s="2" t="n">
        <v>66</v>
      </c>
      <c r="H130" s="2" t="n">
        <v>125</v>
      </c>
      <c r="I130" s="31" t="n">
        <v>45923</v>
      </c>
      <c r="J130" s="32" t="n">
        <v>23</v>
      </c>
      <c r="K130" s="32" t="n">
        <v>17</v>
      </c>
      <c r="L130" s="32">
        <f>+K130+J130</f>
        <v/>
      </c>
    </row>
    <row r="131">
      <c r="B131" t="n">
        <v>126</v>
      </c>
      <c r="C131" s="26" t="n">
        <v>45383</v>
      </c>
      <c r="D131" t="n">
        <v>1</v>
      </c>
      <c r="E131" t="inlineStr">
        <is>
          <t>DRUG</t>
        </is>
      </c>
      <c r="F131" s="2" t="n">
        <v>60</v>
      </c>
      <c r="G131" s="2" t="n">
        <v>66</v>
      </c>
      <c r="H131" s="2" t="n">
        <v>126</v>
      </c>
      <c r="I131" s="31" t="n">
        <v>45923</v>
      </c>
      <c r="J131" s="32" t="n">
        <v>23</v>
      </c>
      <c r="K131" s="32" t="n">
        <v>18</v>
      </c>
      <c r="L131" s="32">
        <f>+K131+J131</f>
        <v/>
      </c>
    </row>
    <row r="132">
      <c r="B132" t="n">
        <v>127</v>
      </c>
      <c r="C132" s="26" t="n">
        <v>45383</v>
      </c>
      <c r="D132" t="n">
        <v>1</v>
      </c>
      <c r="E132" t="inlineStr">
        <is>
          <t>DRUG</t>
        </is>
      </c>
      <c r="F132" s="2" t="n">
        <v>61</v>
      </c>
      <c r="G132" s="2" t="n">
        <v>66</v>
      </c>
      <c r="H132" s="2" t="n">
        <v>127</v>
      </c>
      <c r="I132" s="31" t="n">
        <v>45923</v>
      </c>
      <c r="J132" s="32" t="n">
        <v>23</v>
      </c>
      <c r="K132" s="32" t="n">
        <v>20</v>
      </c>
      <c r="L132" s="32">
        <f>+K132+J132</f>
        <v/>
      </c>
    </row>
    <row r="133">
      <c r="C133" s="26" t="n">
        <v>45413</v>
      </c>
      <c r="J133" s="32" t="n">
        <v>24</v>
      </c>
      <c r="K133" s="32" t="n">
        <v>24</v>
      </c>
      <c r="L133" s="32">
        <f>+K133+J133</f>
        <v/>
      </c>
    </row>
    <row r="134">
      <c r="C134" s="26" t="n">
        <v>45444</v>
      </c>
      <c r="J134" s="32" t="n">
        <v>27</v>
      </c>
      <c r="K134" s="32" t="n">
        <v>26</v>
      </c>
      <c r="L134" s="32">
        <f>+K134+J134</f>
        <v/>
      </c>
    </row>
    <row r="135">
      <c r="C135" s="26" t="n">
        <v>45474</v>
      </c>
      <c r="J135" s="32">
        <f>+J134+2</f>
        <v/>
      </c>
      <c r="K135" s="32">
        <f>+K134+3</f>
        <v/>
      </c>
      <c r="L135" s="32">
        <f>+K135+J135</f>
        <v/>
      </c>
    </row>
    <row r="136" ht="13" customFormat="1" customHeight="1" s="14">
      <c r="C136" s="27" t="n">
        <v>45505</v>
      </c>
      <c r="F136" s="28" t="n"/>
      <c r="G136" s="28" t="n"/>
      <c r="H136" s="28" t="n"/>
      <c r="I136" s="28" t="n"/>
      <c r="J136" s="29">
        <f>+J135+4</f>
        <v/>
      </c>
      <c r="K136" s="29">
        <f>+K135+1</f>
        <v/>
      </c>
      <c r="L136" s="29">
        <f>+K136+J136</f>
        <v/>
      </c>
    </row>
    <row r="137">
      <c r="C137" s="26" t="n">
        <v>45536</v>
      </c>
      <c r="J137" s="32">
        <f>+J136</f>
        <v/>
      </c>
      <c r="K137" s="32">
        <f>+K136+5</f>
        <v/>
      </c>
      <c r="L137" s="32">
        <f>+K137+J137</f>
        <v/>
      </c>
    </row>
    <row r="138">
      <c r="C138" s="26" t="n">
        <v>45566</v>
      </c>
      <c r="J138" s="32">
        <f>+J137+3</f>
        <v/>
      </c>
      <c r="K138" s="32">
        <f>+K137+2</f>
        <v/>
      </c>
      <c r="L138" s="32">
        <f>+K138+J138</f>
        <v/>
      </c>
    </row>
    <row r="139">
      <c r="C139" s="26" t="n">
        <v>45597</v>
      </c>
      <c r="J139" s="32">
        <f>+J138+2</f>
        <v/>
      </c>
      <c r="K139" s="32">
        <f>+K138+3</f>
        <v/>
      </c>
      <c r="L139" s="32">
        <f>+K139+J139</f>
        <v/>
      </c>
    </row>
    <row r="140" ht="13" customFormat="1" customHeight="1" s="14">
      <c r="C140" s="27" t="n">
        <v>45627</v>
      </c>
      <c r="F140" s="28" t="n"/>
      <c r="G140" s="28" t="n"/>
      <c r="H140" s="28" t="n"/>
      <c r="I140" s="28" t="n"/>
      <c r="J140" s="29">
        <f>+J139+2</f>
        <v/>
      </c>
      <c r="K140" s="29">
        <f>+K139+3</f>
        <v/>
      </c>
      <c r="L140" s="29">
        <f>+K140+J140</f>
        <v/>
      </c>
    </row>
    <row r="141">
      <c r="C141" s="26" t="n">
        <v>45658</v>
      </c>
    </row>
    <row r="142">
      <c r="C142" s="26" t="n">
        <v>45689</v>
      </c>
    </row>
    <row r="143">
      <c r="C143" s="26" t="n">
        <v>45717</v>
      </c>
    </row>
    <row r="144">
      <c r="C144" s="26" t="n">
        <v>45748</v>
      </c>
    </row>
    <row r="145">
      <c r="C145" s="26" t="n">
        <v>45778</v>
      </c>
    </row>
    <row r="146">
      <c r="C146" s="26" t="n">
        <v>45809</v>
      </c>
    </row>
    <row r="147">
      <c r="C147" s="26" t="n">
        <v>45839</v>
      </c>
    </row>
    <row r="148">
      <c r="C148" s="26" t="n">
        <v>45870</v>
      </c>
    </row>
    <row r="149">
      <c r="C149" s="26" t="n">
        <v>45901</v>
      </c>
    </row>
    <row r="150">
      <c r="C150" s="26" t="n">
        <v>45931</v>
      </c>
    </row>
    <row r="151">
      <c r="C151" s="26" t="n">
        <v>45962</v>
      </c>
    </row>
    <row r="152">
      <c r="C152" s="26" t="n">
        <v>45992</v>
      </c>
    </row>
  </sheetData>
  <mergeCells count="1">
    <mergeCell ref="J4:L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L152"/>
  <sheetViews>
    <sheetView zoomScale="145" zoomScaleNormal="145" workbookViewId="0">
      <pane xSplit="2" ySplit="5" topLeftCell="C120" activePane="bottomRight" state="frozen"/>
      <selection pane="topRight" activeCell="C1" sqref="C1"/>
      <selection pane="bottomLeft" activeCell="A6" sqref="A6"/>
      <selection pane="bottomRight" activeCell="C2" sqref="C2"/>
    </sheetView>
  </sheetViews>
  <sheetFormatPr baseColWidth="8" defaultRowHeight="12.5"/>
  <cols>
    <col width="9.6328125" customWidth="1" min="3" max="3"/>
    <col width="9.90625" bestFit="1" customWidth="1" min="9" max="9"/>
    <col width="8.7265625" customWidth="1" style="32" min="10" max="12"/>
  </cols>
  <sheetData>
    <row r="2">
      <c r="B2" t="inlineStr">
        <is>
          <t>median OS</t>
        </is>
      </c>
      <c r="C2" t="n">
        <v>24</v>
      </c>
      <c r="E2" t="inlineStr">
        <is>
          <t>Drug</t>
        </is>
      </c>
    </row>
    <row r="3">
      <c r="B3" t="inlineStr">
        <is>
          <t>median OS</t>
        </is>
      </c>
      <c r="C3" t="n">
        <v>24</v>
      </c>
      <c r="E3" t="inlineStr">
        <is>
          <t>BAT</t>
        </is>
      </c>
    </row>
    <row r="4">
      <c r="J4" s="32" t="inlineStr">
        <is>
          <t>Deaths</t>
        </is>
      </c>
    </row>
    <row r="5">
      <c r="B5" t="inlineStr">
        <is>
          <t>Patient</t>
        </is>
      </c>
      <c r="C5" t="inlineStr">
        <is>
          <t>Date Enrolled</t>
        </is>
      </c>
      <c r="D5" t="inlineStr">
        <is>
          <t>Random</t>
        </is>
      </c>
      <c r="E5" t="inlineStr">
        <is>
          <t>Assignment</t>
        </is>
      </c>
      <c r="F5" t="inlineStr">
        <is>
          <t>Drug</t>
        </is>
      </c>
      <c r="G5" t="inlineStr">
        <is>
          <t>Placebo</t>
        </is>
      </c>
      <c r="H5" t="inlineStr">
        <is>
          <t>Total</t>
        </is>
      </c>
      <c r="I5" t="inlineStr">
        <is>
          <t>Died</t>
        </is>
      </c>
      <c r="J5" s="32" t="inlineStr">
        <is>
          <t>Drug</t>
        </is>
      </c>
      <c r="K5" s="32" t="inlineStr">
        <is>
          <t>BAT</t>
        </is>
      </c>
      <c r="L5" s="32" t="inlineStr">
        <is>
          <t>Total</t>
        </is>
      </c>
    </row>
    <row r="6" ht="13" customFormat="1" customHeight="1" s="14">
      <c r="B6" s="14" t="n">
        <v>1</v>
      </c>
      <c r="C6" s="27" t="n">
        <v>44197</v>
      </c>
      <c r="D6" s="14" t="n">
        <v>1</v>
      </c>
      <c r="E6" s="14" t="inlineStr">
        <is>
          <t>DRUG</t>
        </is>
      </c>
      <c r="F6" s="14" t="n">
        <v>1</v>
      </c>
      <c r="G6" s="14" t="n">
        <v>0</v>
      </c>
      <c r="H6" s="14" t="n">
        <v>1</v>
      </c>
      <c r="I6" s="27" t="n">
        <v>44917</v>
      </c>
      <c r="J6" s="29" t="n">
        <v>0</v>
      </c>
      <c r="K6" s="29" t="n">
        <v>0</v>
      </c>
      <c r="L6" s="29">
        <f>+K6+J6</f>
        <v/>
      </c>
    </row>
    <row r="7" ht="13" customFormat="1" customHeight="1" s="14">
      <c r="B7" s="14" t="n">
        <v>2</v>
      </c>
      <c r="C7" s="27" t="n">
        <v>44228</v>
      </c>
      <c r="D7" s="14" t="n">
        <v>0</v>
      </c>
      <c r="E7" s="14" t="inlineStr">
        <is>
          <t>PLACEBO</t>
        </is>
      </c>
      <c r="F7" s="14" t="n">
        <v>1</v>
      </c>
      <c r="G7" s="14" t="n">
        <v>1</v>
      </c>
      <c r="H7" s="14" t="n">
        <v>2</v>
      </c>
      <c r="I7" s="27" t="n">
        <v>44948</v>
      </c>
      <c r="J7" s="29" t="n">
        <v>0</v>
      </c>
      <c r="K7" s="29" t="n">
        <v>0</v>
      </c>
      <c r="L7" s="29">
        <f>+K7+J7</f>
        <v/>
      </c>
    </row>
    <row r="8" ht="13" customFormat="1" customHeight="1" s="14">
      <c r="B8" s="14" t="n">
        <v>3</v>
      </c>
      <c r="C8" s="27" t="n">
        <v>44256</v>
      </c>
      <c r="D8" s="14" t="n">
        <v>0</v>
      </c>
      <c r="E8" s="14" t="inlineStr">
        <is>
          <t>PLACEBO</t>
        </is>
      </c>
      <c r="F8" s="14" t="n">
        <v>1</v>
      </c>
      <c r="G8" s="14" t="n">
        <v>2</v>
      </c>
      <c r="H8" s="14" t="n">
        <v>3</v>
      </c>
      <c r="I8" s="27" t="n">
        <v>44976</v>
      </c>
      <c r="J8" s="29" t="n">
        <v>0</v>
      </c>
      <c r="K8" s="29" t="n">
        <v>0</v>
      </c>
      <c r="L8" s="29">
        <f>+K8+J8</f>
        <v/>
      </c>
    </row>
    <row r="9" ht="13" customFormat="1" customHeight="1" s="14">
      <c r="B9" s="14" t="n">
        <v>4</v>
      </c>
      <c r="C9" s="27" t="n">
        <v>44287</v>
      </c>
      <c r="D9" s="14" t="n">
        <v>1</v>
      </c>
      <c r="E9" s="14" t="inlineStr">
        <is>
          <t>DRUG</t>
        </is>
      </c>
      <c r="F9" s="14" t="n">
        <v>2</v>
      </c>
      <c r="G9" s="14" t="n">
        <v>2</v>
      </c>
      <c r="H9" s="14" t="n">
        <v>4</v>
      </c>
      <c r="I9" s="27" t="n">
        <v>45007</v>
      </c>
      <c r="J9" s="29" t="n">
        <v>0</v>
      </c>
      <c r="K9" s="29" t="n">
        <v>0</v>
      </c>
      <c r="L9" s="29">
        <f>+K9+J9</f>
        <v/>
      </c>
    </row>
    <row r="10" ht="13" customFormat="1" customHeight="1" s="14">
      <c r="B10" s="14" t="n">
        <v>5</v>
      </c>
      <c r="C10" s="27" t="n">
        <v>44317</v>
      </c>
      <c r="D10" s="14" t="n">
        <v>0</v>
      </c>
      <c r="E10" s="14" t="inlineStr">
        <is>
          <t>PLACEBO</t>
        </is>
      </c>
      <c r="F10" s="14" t="n">
        <v>2</v>
      </c>
      <c r="G10" s="14" t="n">
        <v>3</v>
      </c>
      <c r="H10" s="14" t="n">
        <v>5</v>
      </c>
      <c r="I10" s="27" t="n">
        <v>45037</v>
      </c>
      <c r="J10" s="29" t="n">
        <v>0</v>
      </c>
      <c r="K10" s="29" t="n">
        <v>0</v>
      </c>
      <c r="L10" s="29">
        <f>+K10+J10</f>
        <v/>
      </c>
    </row>
    <row r="11" ht="13" customFormat="1" customHeight="1" s="14">
      <c r="B11" s="14" t="n">
        <v>6</v>
      </c>
      <c r="C11" s="27" t="n">
        <v>44348</v>
      </c>
      <c r="D11" s="14" t="n">
        <v>0</v>
      </c>
      <c r="E11" s="14" t="inlineStr">
        <is>
          <t>PLACEBO</t>
        </is>
      </c>
      <c r="F11" s="14" t="n">
        <v>2</v>
      </c>
      <c r="G11" s="14" t="n">
        <v>4</v>
      </c>
      <c r="H11" s="14" t="n">
        <v>6</v>
      </c>
      <c r="I11" s="27" t="n">
        <v>45068</v>
      </c>
      <c r="J11" s="29" t="n">
        <v>0</v>
      </c>
      <c r="K11" s="29" t="n">
        <v>0</v>
      </c>
      <c r="L11" s="29">
        <f>+K11+J11</f>
        <v/>
      </c>
    </row>
    <row r="12" ht="13" customFormat="1" customHeight="1" s="14">
      <c r="B12" s="14" t="n">
        <v>7</v>
      </c>
      <c r="C12" s="27" t="n">
        <v>44378</v>
      </c>
      <c r="D12" s="14" t="n">
        <v>1</v>
      </c>
      <c r="E12" s="14" t="inlineStr">
        <is>
          <t>DRUG</t>
        </is>
      </c>
      <c r="F12" s="14" t="n">
        <v>3</v>
      </c>
      <c r="G12" s="14" t="n">
        <v>4</v>
      </c>
      <c r="H12" s="14" t="n">
        <v>7</v>
      </c>
      <c r="I12" s="27" t="n">
        <v>45098</v>
      </c>
      <c r="J12" s="29" t="n">
        <v>0</v>
      </c>
      <c r="K12" s="29" t="n">
        <v>0</v>
      </c>
      <c r="L12" s="29">
        <f>+K12+J12</f>
        <v/>
      </c>
    </row>
    <row r="13" ht="13" customFormat="1" customHeight="1" s="14">
      <c r="B13" s="14" t="n">
        <v>8</v>
      </c>
      <c r="C13" s="27" t="n">
        <v>44409</v>
      </c>
      <c r="D13" s="14" t="n">
        <v>1</v>
      </c>
      <c r="E13" s="14" t="inlineStr">
        <is>
          <t>DRUG</t>
        </is>
      </c>
      <c r="F13" s="14" t="n">
        <v>4</v>
      </c>
      <c r="G13" s="14" t="n">
        <v>4</v>
      </c>
      <c r="H13" s="14" t="n">
        <v>8</v>
      </c>
      <c r="I13" s="27" t="n">
        <v>45129</v>
      </c>
      <c r="J13" s="29" t="n">
        <v>0</v>
      </c>
      <c r="K13" s="29" t="n">
        <v>0</v>
      </c>
      <c r="L13" s="29">
        <f>+K13+J13</f>
        <v/>
      </c>
    </row>
    <row r="14" ht="13" customFormat="1" customHeight="1" s="14">
      <c r="B14" s="14" t="n">
        <v>9</v>
      </c>
      <c r="C14" s="27" t="n">
        <v>44440</v>
      </c>
      <c r="D14" s="14" t="n">
        <v>0</v>
      </c>
      <c r="E14" s="14" t="inlineStr">
        <is>
          <t>PLACEBO</t>
        </is>
      </c>
      <c r="F14" s="14" t="n">
        <v>4</v>
      </c>
      <c r="G14" s="14" t="n">
        <v>5</v>
      </c>
      <c r="H14" s="14" t="n">
        <v>9</v>
      </c>
      <c r="I14" s="27" t="n">
        <v>45160</v>
      </c>
      <c r="J14" s="29" t="n">
        <v>0</v>
      </c>
      <c r="K14" s="29" t="n">
        <v>0</v>
      </c>
      <c r="L14" s="29">
        <f>+K14+J14</f>
        <v/>
      </c>
    </row>
    <row r="15" ht="13" customFormat="1" customHeight="1" s="14">
      <c r="B15" s="14" t="n">
        <v>10</v>
      </c>
      <c r="C15" s="27" t="n">
        <v>44470</v>
      </c>
      <c r="D15" s="14" t="n">
        <v>1</v>
      </c>
      <c r="E15" s="14" t="inlineStr">
        <is>
          <t>DRUG</t>
        </is>
      </c>
      <c r="F15" s="14" t="n">
        <v>5</v>
      </c>
      <c r="G15" s="14" t="n">
        <v>5</v>
      </c>
      <c r="H15" s="14" t="n">
        <v>10</v>
      </c>
      <c r="I15" s="27" t="n">
        <v>45190</v>
      </c>
      <c r="J15" s="29" t="n">
        <v>0</v>
      </c>
      <c r="K15" s="29" t="n">
        <v>0</v>
      </c>
      <c r="L15" s="29">
        <f>+K15+J15</f>
        <v/>
      </c>
    </row>
    <row r="16" ht="13" customFormat="1" customHeight="1" s="14">
      <c r="B16" s="14" t="n">
        <v>11</v>
      </c>
      <c r="C16" s="27" t="n">
        <v>44501</v>
      </c>
      <c r="D16" s="14" t="n">
        <v>1</v>
      </c>
      <c r="E16" s="14" t="inlineStr">
        <is>
          <t>DRUG</t>
        </is>
      </c>
      <c r="F16" s="14" t="n">
        <v>6</v>
      </c>
      <c r="G16" s="14" t="n">
        <v>5</v>
      </c>
      <c r="H16" s="14" t="n">
        <v>11</v>
      </c>
      <c r="I16" s="27" t="n">
        <v>45221</v>
      </c>
      <c r="J16" s="29" t="n">
        <v>0</v>
      </c>
      <c r="K16" s="29" t="n">
        <v>0</v>
      </c>
      <c r="L16" s="29">
        <f>+K16+J16</f>
        <v/>
      </c>
    </row>
    <row r="17" ht="13" customFormat="1" customHeight="1" s="14">
      <c r="B17" s="14" t="n">
        <v>12</v>
      </c>
      <c r="C17" s="27" t="n">
        <v>44531</v>
      </c>
      <c r="D17" s="14" t="n">
        <v>1</v>
      </c>
      <c r="E17" s="14" t="inlineStr">
        <is>
          <t>DRUG</t>
        </is>
      </c>
      <c r="F17" s="14" t="n">
        <v>7</v>
      </c>
      <c r="G17" s="14" t="n">
        <v>5</v>
      </c>
      <c r="H17" s="14" t="n">
        <v>12</v>
      </c>
      <c r="I17" s="27" t="n">
        <v>45251</v>
      </c>
      <c r="J17" s="29" t="n">
        <v>0</v>
      </c>
      <c r="K17" s="29" t="n">
        <v>0</v>
      </c>
      <c r="L17" s="29">
        <f>+K17+J17</f>
        <v/>
      </c>
    </row>
    <row r="18" ht="13" customFormat="1" customHeight="1" s="14">
      <c r="B18" s="14" t="n">
        <v>13</v>
      </c>
      <c r="C18" s="27" t="n">
        <v>44562</v>
      </c>
      <c r="D18" s="14" t="n">
        <v>1</v>
      </c>
      <c r="E18" s="14" t="inlineStr">
        <is>
          <t>DRUG</t>
        </is>
      </c>
      <c r="F18" s="14" t="n">
        <v>8</v>
      </c>
      <c r="G18" s="14" t="n">
        <v>5</v>
      </c>
      <c r="H18" s="14" t="n">
        <v>13</v>
      </c>
      <c r="I18" s="27" t="n">
        <v>45282</v>
      </c>
      <c r="J18" s="29" t="n">
        <v>0</v>
      </c>
      <c r="K18" s="29" t="n">
        <v>0</v>
      </c>
      <c r="L18" s="29">
        <f>+K18+J18</f>
        <v/>
      </c>
    </row>
    <row r="19" ht="13" customFormat="1" customHeight="1" s="14">
      <c r="B19" s="14" t="n">
        <v>14</v>
      </c>
      <c r="C19" s="27" t="n">
        <v>44593</v>
      </c>
      <c r="D19" s="14" t="n">
        <v>1</v>
      </c>
      <c r="E19" s="14" t="inlineStr">
        <is>
          <t>DRUG</t>
        </is>
      </c>
      <c r="F19" s="14" t="n">
        <v>9</v>
      </c>
      <c r="G19" s="14" t="n">
        <v>5</v>
      </c>
      <c r="H19" s="14" t="n">
        <v>14</v>
      </c>
      <c r="I19" s="27" t="n">
        <v>45313</v>
      </c>
      <c r="J19" s="29" t="n">
        <v>0</v>
      </c>
      <c r="K19" s="29" t="n">
        <v>0</v>
      </c>
      <c r="L19" s="29">
        <f>+K19+J19</f>
        <v/>
      </c>
    </row>
    <row r="20" ht="13" customFormat="1" customHeight="1" s="14">
      <c r="B20" s="14" t="n">
        <v>15</v>
      </c>
      <c r="C20" s="27" t="n">
        <v>44621</v>
      </c>
      <c r="D20" s="14" t="n">
        <v>0</v>
      </c>
      <c r="E20" s="14" t="inlineStr">
        <is>
          <t>PLACEBO</t>
        </is>
      </c>
      <c r="F20" s="14" t="n">
        <v>9</v>
      </c>
      <c r="G20" s="14" t="n">
        <v>6</v>
      </c>
      <c r="H20" s="14" t="n">
        <v>15</v>
      </c>
      <c r="I20" s="27" t="n">
        <v>45341</v>
      </c>
      <c r="J20" s="29" t="n">
        <v>0</v>
      </c>
      <c r="K20" s="29" t="n">
        <v>0</v>
      </c>
      <c r="L20" s="29">
        <f>+K20+J20</f>
        <v/>
      </c>
    </row>
    <row r="21" ht="13" customFormat="1" customHeight="1" s="14">
      <c r="B21" s="14" t="n">
        <v>16</v>
      </c>
      <c r="C21" s="27" t="n">
        <v>44621</v>
      </c>
      <c r="D21" s="14" t="n">
        <v>0</v>
      </c>
      <c r="E21" s="14" t="inlineStr">
        <is>
          <t>PLACEBO</t>
        </is>
      </c>
      <c r="F21" s="14" t="n">
        <v>9</v>
      </c>
      <c r="G21" s="14" t="n">
        <v>7</v>
      </c>
      <c r="H21" s="14" t="n">
        <v>16</v>
      </c>
      <c r="I21" s="27" t="n">
        <v>45341</v>
      </c>
      <c r="J21" s="29" t="n">
        <v>0</v>
      </c>
      <c r="K21" s="29" t="n">
        <v>0</v>
      </c>
      <c r="L21" s="29">
        <f>+K21+J21</f>
        <v/>
      </c>
    </row>
    <row r="22" ht="13" customFormat="1" customHeight="1" s="14">
      <c r="B22" s="14" t="n">
        <v>17</v>
      </c>
      <c r="C22" s="27" t="n">
        <v>44652</v>
      </c>
      <c r="D22" s="14" t="n">
        <v>1</v>
      </c>
      <c r="E22" s="14" t="inlineStr">
        <is>
          <t>DRUG</t>
        </is>
      </c>
      <c r="F22" s="14" t="n">
        <v>10</v>
      </c>
      <c r="G22" s="14" t="n">
        <v>7</v>
      </c>
      <c r="H22" s="14" t="n">
        <v>17</v>
      </c>
      <c r="I22" s="27" t="n">
        <v>45372</v>
      </c>
      <c r="J22" s="29" t="n">
        <v>0</v>
      </c>
      <c r="K22" s="29" t="n">
        <v>0</v>
      </c>
      <c r="L22" s="29">
        <f>+K22+J22</f>
        <v/>
      </c>
    </row>
    <row r="23" ht="13" customFormat="1" customHeight="1" s="14">
      <c r="B23" s="14" t="n">
        <v>18</v>
      </c>
      <c r="C23" s="27" t="n">
        <v>44652</v>
      </c>
      <c r="D23" s="14" t="n">
        <v>0</v>
      </c>
      <c r="E23" s="14" t="inlineStr">
        <is>
          <t>PLACEBO</t>
        </is>
      </c>
      <c r="F23" s="14" t="n">
        <v>10</v>
      </c>
      <c r="G23" s="14" t="n">
        <v>8</v>
      </c>
      <c r="H23" s="14" t="n">
        <v>18</v>
      </c>
      <c r="I23" s="27" t="n">
        <v>45372</v>
      </c>
      <c r="J23" s="29" t="n">
        <v>0</v>
      </c>
      <c r="K23" s="29" t="n">
        <v>0</v>
      </c>
      <c r="L23" s="29">
        <f>+K23+J23</f>
        <v/>
      </c>
    </row>
    <row r="24" ht="13" customFormat="1" customHeight="1" s="14">
      <c r="B24" s="14" t="n">
        <v>19</v>
      </c>
      <c r="C24" s="27" t="n">
        <v>44682</v>
      </c>
      <c r="D24" s="14" t="n">
        <v>0</v>
      </c>
      <c r="E24" s="14" t="inlineStr">
        <is>
          <t>PLACEBO</t>
        </is>
      </c>
      <c r="F24" s="14" t="n">
        <v>10</v>
      </c>
      <c r="G24" s="14" t="n">
        <v>9</v>
      </c>
      <c r="H24" s="14" t="n">
        <v>19</v>
      </c>
      <c r="I24" s="27" t="n">
        <v>45402</v>
      </c>
      <c r="J24" s="29" t="n">
        <v>0</v>
      </c>
      <c r="K24" s="29" t="n">
        <v>0</v>
      </c>
      <c r="L24" s="29">
        <f>+K24+J24</f>
        <v/>
      </c>
    </row>
    <row r="25" ht="13" customFormat="1" customHeight="1" s="14">
      <c r="B25" s="14" t="n">
        <v>20</v>
      </c>
      <c r="C25" s="27" t="n">
        <v>44682</v>
      </c>
      <c r="D25" s="14" t="n">
        <v>1</v>
      </c>
      <c r="E25" s="14" t="inlineStr">
        <is>
          <t>DRUG</t>
        </is>
      </c>
      <c r="F25" s="14" t="n">
        <v>11</v>
      </c>
      <c r="G25" s="14" t="n">
        <v>9</v>
      </c>
      <c r="H25" s="14" t="n">
        <v>20</v>
      </c>
      <c r="I25" s="27" t="n">
        <v>45402</v>
      </c>
      <c r="J25" s="29" t="n">
        <v>0</v>
      </c>
      <c r="K25" s="29" t="n">
        <v>0</v>
      </c>
      <c r="L25" s="29">
        <f>+K25+J25</f>
        <v/>
      </c>
    </row>
    <row r="26" ht="13" customFormat="1" customHeight="1" s="14">
      <c r="B26" s="14" t="n">
        <v>21</v>
      </c>
      <c r="C26" s="27" t="n">
        <v>44682</v>
      </c>
      <c r="D26" s="14" t="n">
        <v>0</v>
      </c>
      <c r="E26" s="14" t="inlineStr">
        <is>
          <t>PLACEBO</t>
        </is>
      </c>
      <c r="F26" s="14" t="n">
        <v>11</v>
      </c>
      <c r="G26" s="14" t="n">
        <v>10</v>
      </c>
      <c r="H26" s="14" t="n">
        <v>21</v>
      </c>
      <c r="I26" s="27" t="n">
        <v>45402</v>
      </c>
      <c r="J26" s="29" t="n">
        <v>0</v>
      </c>
      <c r="K26" s="29" t="n">
        <v>0</v>
      </c>
      <c r="L26" s="29">
        <f>+K26+J26</f>
        <v/>
      </c>
    </row>
    <row r="27" ht="13" customFormat="1" customHeight="1" s="14">
      <c r="B27" s="14" t="n">
        <v>22</v>
      </c>
      <c r="C27" s="27" t="n">
        <v>44713</v>
      </c>
      <c r="D27" s="14" t="n">
        <v>0</v>
      </c>
      <c r="E27" s="14" t="inlineStr">
        <is>
          <t>PLACEBO</t>
        </is>
      </c>
      <c r="F27" s="14" t="n">
        <v>11</v>
      </c>
      <c r="G27" s="14" t="n">
        <v>11</v>
      </c>
      <c r="H27" s="14" t="n">
        <v>22</v>
      </c>
      <c r="I27" s="27" t="n">
        <v>45433</v>
      </c>
      <c r="J27" s="29" t="n">
        <v>0</v>
      </c>
      <c r="K27" s="29" t="n">
        <v>0</v>
      </c>
      <c r="L27" s="29">
        <f>+K27+J27</f>
        <v/>
      </c>
    </row>
    <row r="28" ht="13" customFormat="1" customHeight="1" s="14">
      <c r="B28" s="14" t="n">
        <v>23</v>
      </c>
      <c r="C28" s="27" t="n">
        <v>44713</v>
      </c>
      <c r="D28" s="14" t="n">
        <v>1</v>
      </c>
      <c r="E28" s="14" t="inlineStr">
        <is>
          <t>DRUG</t>
        </is>
      </c>
      <c r="F28" s="14" t="n">
        <v>12</v>
      </c>
      <c r="G28" s="14" t="n">
        <v>11</v>
      </c>
      <c r="H28" s="14" t="n">
        <v>23</v>
      </c>
      <c r="I28" s="27" t="n">
        <v>45433</v>
      </c>
      <c r="J28" s="29" t="n">
        <v>0</v>
      </c>
      <c r="K28" s="29" t="n">
        <v>0</v>
      </c>
      <c r="L28" s="29">
        <f>+K28+J28</f>
        <v/>
      </c>
    </row>
    <row r="29" ht="13" customFormat="1" customHeight="1" s="14">
      <c r="B29" s="14" t="n">
        <v>24</v>
      </c>
      <c r="C29" s="27" t="n">
        <v>44713</v>
      </c>
      <c r="D29" s="14" t="n">
        <v>1</v>
      </c>
      <c r="E29" s="14" t="inlineStr">
        <is>
          <t>DRUG</t>
        </is>
      </c>
      <c r="F29" s="14" t="n">
        <v>13</v>
      </c>
      <c r="G29" s="14" t="n">
        <v>11</v>
      </c>
      <c r="H29" s="14" t="n">
        <v>24</v>
      </c>
      <c r="I29" s="27" t="n">
        <v>45433</v>
      </c>
      <c r="J29" s="29" t="n">
        <v>0</v>
      </c>
      <c r="K29" s="29" t="n">
        <v>0</v>
      </c>
      <c r="L29" s="29">
        <f>+K29+J29</f>
        <v/>
      </c>
    </row>
    <row r="30" ht="13" customFormat="1" customHeight="1" s="14">
      <c r="B30" s="14" t="n">
        <v>25</v>
      </c>
      <c r="C30" s="27" t="n">
        <v>44743</v>
      </c>
      <c r="D30" s="14" t="n">
        <v>1</v>
      </c>
      <c r="E30" s="14" t="inlineStr">
        <is>
          <t>DRUG</t>
        </is>
      </c>
      <c r="F30" s="14" t="n">
        <v>14</v>
      </c>
      <c r="G30" s="14" t="n">
        <v>11</v>
      </c>
      <c r="H30" s="14" t="n">
        <v>25</v>
      </c>
      <c r="I30" s="27" t="n">
        <v>45463</v>
      </c>
      <c r="J30" s="29" t="n">
        <v>0</v>
      </c>
      <c r="K30" s="29" t="n">
        <v>0</v>
      </c>
      <c r="L30" s="29">
        <f>+K30+J30</f>
        <v/>
      </c>
    </row>
    <row r="31" ht="13" customFormat="1" customHeight="1" s="14">
      <c r="B31" s="14" t="n">
        <v>26</v>
      </c>
      <c r="C31" s="27" t="n">
        <v>44743</v>
      </c>
      <c r="D31" s="14" t="n">
        <v>0</v>
      </c>
      <c r="E31" s="14" t="inlineStr">
        <is>
          <t>PLACEBO</t>
        </is>
      </c>
      <c r="F31" s="14" t="n">
        <v>14</v>
      </c>
      <c r="G31" s="14" t="n">
        <v>12</v>
      </c>
      <c r="H31" s="14" t="n">
        <v>26</v>
      </c>
      <c r="I31" s="27" t="n">
        <v>45463</v>
      </c>
      <c r="J31" s="29" t="n">
        <v>0</v>
      </c>
      <c r="K31" s="29" t="n">
        <v>0</v>
      </c>
      <c r="L31" s="29">
        <f>+K31+J31</f>
        <v/>
      </c>
    </row>
    <row r="32" ht="13" customFormat="1" customHeight="1" s="14">
      <c r="B32" s="14" t="n">
        <v>27</v>
      </c>
      <c r="C32" s="27" t="n">
        <v>44743</v>
      </c>
      <c r="D32" s="14" t="n">
        <v>0</v>
      </c>
      <c r="E32" s="14" t="inlineStr">
        <is>
          <t>PLACEBO</t>
        </is>
      </c>
      <c r="F32" s="14" t="n">
        <v>14</v>
      </c>
      <c r="G32" s="14" t="n">
        <v>13</v>
      </c>
      <c r="H32" s="14" t="n">
        <v>27</v>
      </c>
      <c r="I32" s="27" t="n">
        <v>45463</v>
      </c>
      <c r="J32" s="29" t="n">
        <v>0</v>
      </c>
      <c r="K32" s="29" t="n">
        <v>0</v>
      </c>
      <c r="L32" s="29">
        <f>+K32+J32</f>
        <v/>
      </c>
    </row>
    <row r="33" ht="13" customFormat="1" customHeight="1" s="14">
      <c r="B33" s="14" t="n">
        <v>28</v>
      </c>
      <c r="C33" s="27" t="n">
        <v>44774</v>
      </c>
      <c r="D33" s="14" t="n">
        <v>1</v>
      </c>
      <c r="E33" s="14" t="inlineStr">
        <is>
          <t>DRUG</t>
        </is>
      </c>
      <c r="F33" s="14" t="n">
        <v>15</v>
      </c>
      <c r="G33" s="14" t="n">
        <v>13</v>
      </c>
      <c r="H33" s="14" t="n">
        <v>28</v>
      </c>
      <c r="I33" s="27" t="n">
        <v>45494</v>
      </c>
      <c r="J33" s="29" t="n">
        <v>0</v>
      </c>
      <c r="K33" s="29" t="n">
        <v>0</v>
      </c>
      <c r="L33" s="29">
        <f>+K33+J33</f>
        <v/>
      </c>
    </row>
    <row r="34" ht="13" customFormat="1" customHeight="1" s="14">
      <c r="B34" s="14" t="n">
        <v>29</v>
      </c>
      <c r="C34" s="27" t="n">
        <v>44774</v>
      </c>
      <c r="D34" s="14" t="n">
        <v>1</v>
      </c>
      <c r="E34" s="14" t="inlineStr">
        <is>
          <t>DRUG</t>
        </is>
      </c>
      <c r="F34" s="14" t="n">
        <v>16</v>
      </c>
      <c r="G34" s="14" t="n">
        <v>13</v>
      </c>
      <c r="H34" s="14" t="n">
        <v>29</v>
      </c>
      <c r="I34" s="27" t="n">
        <v>45494</v>
      </c>
      <c r="J34" s="29" t="n">
        <v>0</v>
      </c>
      <c r="K34" s="29" t="n">
        <v>0</v>
      </c>
      <c r="L34" s="29">
        <f>+K34+J34</f>
        <v/>
      </c>
    </row>
    <row r="35" ht="13" customFormat="1" customHeight="1" s="14">
      <c r="B35" s="14" t="n">
        <v>30</v>
      </c>
      <c r="C35" s="27" t="n">
        <v>44774</v>
      </c>
      <c r="D35" s="14" t="n">
        <v>0</v>
      </c>
      <c r="E35" s="14" t="inlineStr">
        <is>
          <t>PLACEBO</t>
        </is>
      </c>
      <c r="F35" s="14" t="n">
        <v>16</v>
      </c>
      <c r="G35" s="14" t="n">
        <v>14</v>
      </c>
      <c r="H35" s="14" t="n">
        <v>30</v>
      </c>
      <c r="I35" s="27" t="n">
        <v>45494</v>
      </c>
      <c r="J35" s="29" t="n">
        <v>0</v>
      </c>
      <c r="K35" s="29" t="n">
        <v>0</v>
      </c>
      <c r="L35" s="29">
        <f>+K35+J35</f>
        <v/>
      </c>
    </row>
    <row r="36" ht="13" customFormat="1" customHeight="1" s="14">
      <c r="B36" s="14" t="n">
        <v>31</v>
      </c>
      <c r="C36" s="27" t="n">
        <v>44805</v>
      </c>
      <c r="D36" s="14" t="n">
        <v>0</v>
      </c>
      <c r="E36" s="14" t="inlineStr">
        <is>
          <t>PLACEBO</t>
        </is>
      </c>
      <c r="F36" s="14" t="n">
        <v>16</v>
      </c>
      <c r="G36" s="14" t="n">
        <v>15</v>
      </c>
      <c r="H36" s="14" t="n">
        <v>31</v>
      </c>
      <c r="I36" s="27" t="n">
        <v>45525</v>
      </c>
      <c r="J36" s="29" t="n">
        <v>0</v>
      </c>
      <c r="K36" s="29" t="n">
        <v>0</v>
      </c>
      <c r="L36" s="29">
        <f>+K36+J36</f>
        <v/>
      </c>
    </row>
    <row r="37" ht="13" customFormat="1" customHeight="1" s="14">
      <c r="B37" s="14" t="n">
        <v>32</v>
      </c>
      <c r="C37" s="27" t="n">
        <v>44805</v>
      </c>
      <c r="D37" s="14" t="n">
        <v>0</v>
      </c>
      <c r="E37" s="14" t="inlineStr">
        <is>
          <t>PLACEBO</t>
        </is>
      </c>
      <c r="F37" s="14" t="n">
        <v>16</v>
      </c>
      <c r="G37" s="14" t="n">
        <v>16</v>
      </c>
      <c r="H37" s="14" t="n">
        <v>32</v>
      </c>
      <c r="I37" s="27" t="n">
        <v>45525</v>
      </c>
      <c r="J37" s="29" t="n">
        <v>0</v>
      </c>
      <c r="K37" s="29" t="n">
        <v>0</v>
      </c>
      <c r="L37" s="29">
        <f>+K37+J37</f>
        <v/>
      </c>
    </row>
    <row r="38" ht="13" customFormat="1" customHeight="1" s="14">
      <c r="B38" s="14" t="n">
        <v>33</v>
      </c>
      <c r="C38" s="27" t="n">
        <v>44805</v>
      </c>
      <c r="D38" s="14" t="n">
        <v>1</v>
      </c>
      <c r="E38" s="14" t="inlineStr">
        <is>
          <t>DRUG</t>
        </is>
      </c>
      <c r="F38" s="14" t="n">
        <v>17</v>
      </c>
      <c r="G38" s="14" t="n">
        <v>16</v>
      </c>
      <c r="H38" s="14" t="n">
        <v>33</v>
      </c>
      <c r="I38" s="27" t="n">
        <v>45525</v>
      </c>
      <c r="J38" s="29" t="n">
        <v>0</v>
      </c>
      <c r="K38" s="29" t="n">
        <v>0</v>
      </c>
      <c r="L38" s="29">
        <f>+K38+J38</f>
        <v/>
      </c>
    </row>
    <row r="39" ht="13" customFormat="1" customHeight="1" s="14">
      <c r="B39" s="14" t="n">
        <v>34</v>
      </c>
      <c r="C39" s="27" t="n">
        <v>44805</v>
      </c>
      <c r="D39" s="14" t="n">
        <v>0</v>
      </c>
      <c r="E39" s="14" t="inlineStr">
        <is>
          <t>PLACEBO</t>
        </is>
      </c>
      <c r="F39" s="14" t="n">
        <v>17</v>
      </c>
      <c r="G39" s="14" t="n">
        <v>17</v>
      </c>
      <c r="H39" s="14" t="n">
        <v>34</v>
      </c>
      <c r="I39" s="27" t="n">
        <v>45525</v>
      </c>
      <c r="J39" s="29" t="n">
        <v>0</v>
      </c>
      <c r="K39" s="29" t="n">
        <v>0</v>
      </c>
      <c r="L39" s="29">
        <f>+K39+J39</f>
        <v/>
      </c>
    </row>
    <row r="40" ht="13" customFormat="1" customHeight="1" s="14">
      <c r="B40" s="14" t="n">
        <v>35</v>
      </c>
      <c r="C40" s="27" t="n">
        <v>44835</v>
      </c>
      <c r="D40" s="14" t="n">
        <v>0</v>
      </c>
      <c r="E40" s="14" t="inlineStr">
        <is>
          <t>PLACEBO</t>
        </is>
      </c>
      <c r="F40" s="14" t="n">
        <v>17</v>
      </c>
      <c r="G40" s="14" t="n">
        <v>18</v>
      </c>
      <c r="H40" s="14" t="n">
        <v>35</v>
      </c>
      <c r="I40" s="27" t="n">
        <v>45555</v>
      </c>
      <c r="J40" s="29" t="n">
        <v>0</v>
      </c>
      <c r="K40" s="29" t="n">
        <v>0</v>
      </c>
      <c r="L40" s="29">
        <f>+K40+J40</f>
        <v/>
      </c>
    </row>
    <row r="41" ht="13" customFormat="1" customHeight="1" s="14">
      <c r="B41" s="14" t="n">
        <v>36</v>
      </c>
      <c r="C41" s="27" t="n">
        <v>44835</v>
      </c>
      <c r="D41" s="14" t="n">
        <v>1</v>
      </c>
      <c r="E41" s="14" t="inlineStr">
        <is>
          <t>DRUG</t>
        </is>
      </c>
      <c r="F41" s="14" t="n">
        <v>18</v>
      </c>
      <c r="G41" s="14" t="n">
        <v>18</v>
      </c>
      <c r="H41" s="14" t="n">
        <v>36</v>
      </c>
      <c r="I41" s="27" t="n">
        <v>45555</v>
      </c>
      <c r="J41" s="29" t="n">
        <v>0</v>
      </c>
      <c r="K41" s="29" t="n">
        <v>0</v>
      </c>
      <c r="L41" s="29">
        <f>+K41+J41</f>
        <v/>
      </c>
    </row>
    <row r="42" ht="13" customFormat="1" customHeight="1" s="14">
      <c r="B42" s="14" t="n">
        <v>37</v>
      </c>
      <c r="C42" s="27" t="n">
        <v>44835</v>
      </c>
      <c r="D42" s="14" t="n">
        <v>1</v>
      </c>
      <c r="E42" s="14" t="inlineStr">
        <is>
          <t>DRUG</t>
        </is>
      </c>
      <c r="F42" s="14" t="n">
        <v>19</v>
      </c>
      <c r="G42" s="14" t="n">
        <v>18</v>
      </c>
      <c r="H42" s="14" t="n">
        <v>37</v>
      </c>
      <c r="I42" s="27" t="n">
        <v>45555</v>
      </c>
      <c r="J42" s="29" t="n">
        <v>0</v>
      </c>
      <c r="K42" s="29" t="n">
        <v>0</v>
      </c>
      <c r="L42" s="29">
        <f>+K42+J42</f>
        <v/>
      </c>
    </row>
    <row r="43" ht="13" customFormat="1" customHeight="1" s="14">
      <c r="B43" s="14" t="n">
        <v>38</v>
      </c>
      <c r="C43" s="27" t="n">
        <v>44835</v>
      </c>
      <c r="D43" s="14" t="n">
        <v>1</v>
      </c>
      <c r="E43" s="14" t="inlineStr">
        <is>
          <t>DRUG</t>
        </is>
      </c>
      <c r="F43" s="14" t="n">
        <v>20</v>
      </c>
      <c r="G43" s="14" t="n">
        <v>18</v>
      </c>
      <c r="H43" s="14" t="n">
        <v>38</v>
      </c>
      <c r="I43" s="27" t="n">
        <v>45555</v>
      </c>
      <c r="J43" s="29" t="n">
        <v>0</v>
      </c>
      <c r="K43" s="29" t="n">
        <v>0</v>
      </c>
      <c r="L43" s="29">
        <f>+K43+J43</f>
        <v/>
      </c>
    </row>
    <row r="44" ht="13" customFormat="1" customHeight="1" s="14">
      <c r="B44" s="14" t="n">
        <v>39</v>
      </c>
      <c r="C44" s="27" t="n">
        <v>44866</v>
      </c>
      <c r="D44" s="14" t="n">
        <v>1</v>
      </c>
      <c r="E44" s="14" t="inlineStr">
        <is>
          <t>DRUG</t>
        </is>
      </c>
      <c r="F44" s="14" t="n">
        <v>21</v>
      </c>
      <c r="G44" s="14" t="n">
        <v>18</v>
      </c>
      <c r="H44" s="14" t="n">
        <v>39</v>
      </c>
      <c r="I44" s="27" t="n">
        <v>45586</v>
      </c>
      <c r="J44" s="29" t="n">
        <v>0</v>
      </c>
      <c r="K44" s="29" t="n">
        <v>0</v>
      </c>
      <c r="L44" s="29">
        <f>+K44+J44</f>
        <v/>
      </c>
    </row>
    <row r="45" ht="13" customFormat="1" customHeight="1" s="14">
      <c r="B45" s="14" t="n">
        <v>40</v>
      </c>
      <c r="C45" s="27" t="n">
        <v>44866</v>
      </c>
      <c r="D45" s="14" t="n">
        <v>0</v>
      </c>
      <c r="E45" s="14" t="inlineStr">
        <is>
          <t>PLACEBO</t>
        </is>
      </c>
      <c r="F45" s="14" t="n">
        <v>21</v>
      </c>
      <c r="G45" s="14" t="n">
        <v>19</v>
      </c>
      <c r="H45" s="14" t="n">
        <v>40</v>
      </c>
      <c r="I45" s="27" t="n">
        <v>45586</v>
      </c>
      <c r="J45" s="29" t="n">
        <v>0</v>
      </c>
      <c r="K45" s="29" t="n">
        <v>0</v>
      </c>
      <c r="L45" s="29">
        <f>+K45+J45</f>
        <v/>
      </c>
    </row>
    <row r="46" ht="13" customFormat="1" customHeight="1" s="14">
      <c r="B46" s="14" t="n">
        <v>41</v>
      </c>
      <c r="C46" s="27" t="n">
        <v>44866</v>
      </c>
      <c r="D46" s="14" t="n">
        <v>1</v>
      </c>
      <c r="E46" s="14" t="inlineStr">
        <is>
          <t>DRUG</t>
        </is>
      </c>
      <c r="F46" s="14" t="n">
        <v>22</v>
      </c>
      <c r="G46" s="14" t="n">
        <v>19</v>
      </c>
      <c r="H46" s="14" t="n">
        <v>41</v>
      </c>
      <c r="I46" s="27" t="n">
        <v>45586</v>
      </c>
      <c r="J46" s="29" t="n">
        <v>0</v>
      </c>
      <c r="K46" s="29" t="n">
        <v>0</v>
      </c>
      <c r="L46" s="29">
        <f>+K46+J46</f>
        <v/>
      </c>
    </row>
    <row r="47" ht="13" customFormat="1" customHeight="1" s="14">
      <c r="B47" s="14" t="n">
        <v>42</v>
      </c>
      <c r="C47" s="27" t="n">
        <v>44866</v>
      </c>
      <c r="D47" s="14" t="n">
        <v>0</v>
      </c>
      <c r="E47" s="14" t="inlineStr">
        <is>
          <t>PLACEBO</t>
        </is>
      </c>
      <c r="F47" s="14" t="n">
        <v>22</v>
      </c>
      <c r="G47" s="14" t="n">
        <v>20</v>
      </c>
      <c r="H47" s="14" t="n">
        <v>42</v>
      </c>
      <c r="I47" s="27" t="n">
        <v>45586</v>
      </c>
      <c r="J47" s="29" t="n">
        <v>0</v>
      </c>
      <c r="K47" s="29" t="n">
        <v>0</v>
      </c>
      <c r="L47" s="29">
        <f>+K47+J47</f>
        <v/>
      </c>
    </row>
    <row r="48" ht="13" customFormat="1" customHeight="1" s="14">
      <c r="B48" s="14" t="n">
        <v>43</v>
      </c>
      <c r="C48" s="27" t="n">
        <v>44866</v>
      </c>
      <c r="D48" s="14" t="n">
        <v>0</v>
      </c>
      <c r="E48" s="14" t="inlineStr">
        <is>
          <t>PLACEBO</t>
        </is>
      </c>
      <c r="F48" s="14" t="n">
        <v>22</v>
      </c>
      <c r="G48" s="14" t="n">
        <v>21</v>
      </c>
      <c r="H48" s="14" t="n">
        <v>43</v>
      </c>
      <c r="I48" s="27" t="n">
        <v>45586</v>
      </c>
      <c r="J48" s="29" t="n">
        <v>0</v>
      </c>
      <c r="K48" s="29" t="n">
        <v>0</v>
      </c>
      <c r="L48" s="29">
        <f>+K48+J48</f>
        <v/>
      </c>
    </row>
    <row r="49" ht="13" customFormat="1" customHeight="1" s="14">
      <c r="B49" s="14" t="n">
        <v>44</v>
      </c>
      <c r="C49" s="27" t="n">
        <v>44896</v>
      </c>
      <c r="D49" s="14" t="n">
        <v>0</v>
      </c>
      <c r="E49" s="14" t="inlineStr">
        <is>
          <t>PLACEBO</t>
        </is>
      </c>
      <c r="F49" s="14" t="n">
        <v>22</v>
      </c>
      <c r="G49" s="14" t="n">
        <v>22</v>
      </c>
      <c r="H49" s="14" t="n">
        <v>44</v>
      </c>
      <c r="I49" s="27" t="n">
        <v>45616</v>
      </c>
      <c r="J49" s="29" t="n">
        <v>1</v>
      </c>
      <c r="K49" s="29" t="n">
        <v>0</v>
      </c>
      <c r="L49" s="29">
        <f>+K49+J49</f>
        <v/>
      </c>
    </row>
    <row r="50" ht="13" customFormat="1" customHeight="1" s="14">
      <c r="B50" s="14" t="n">
        <v>45</v>
      </c>
      <c r="C50" s="27" t="n">
        <v>44896</v>
      </c>
      <c r="D50" s="14" t="n">
        <v>0</v>
      </c>
      <c r="E50" s="14" t="inlineStr">
        <is>
          <t>PLACEBO</t>
        </is>
      </c>
      <c r="F50" s="14" t="n">
        <v>22</v>
      </c>
      <c r="G50" s="14" t="n">
        <v>23</v>
      </c>
      <c r="H50" s="14" t="n">
        <v>45</v>
      </c>
      <c r="I50" s="27" t="n">
        <v>45616</v>
      </c>
      <c r="J50" s="29" t="n">
        <v>1</v>
      </c>
      <c r="K50" s="29" t="n">
        <v>0</v>
      </c>
      <c r="L50" s="29">
        <f>+K50+J50</f>
        <v/>
      </c>
    </row>
    <row r="51" ht="13" customFormat="1" customHeight="1" s="14">
      <c r="B51" s="14" t="n">
        <v>46</v>
      </c>
      <c r="C51" s="27" t="n">
        <v>44896</v>
      </c>
      <c r="D51" s="14" t="n">
        <v>1</v>
      </c>
      <c r="E51" s="14" t="inlineStr">
        <is>
          <t>DRUG</t>
        </is>
      </c>
      <c r="F51" s="14" t="n">
        <v>23</v>
      </c>
      <c r="G51" s="14" t="n">
        <v>23</v>
      </c>
      <c r="H51" s="14" t="n">
        <v>46</v>
      </c>
      <c r="I51" s="27" t="n">
        <v>45616</v>
      </c>
      <c r="J51" s="29" t="n">
        <v>1</v>
      </c>
      <c r="K51" s="29" t="n">
        <v>0</v>
      </c>
      <c r="L51" s="29">
        <f>+K51+J51</f>
        <v/>
      </c>
    </row>
    <row r="52" ht="13" customFormat="1" customHeight="1" s="14">
      <c r="B52" s="14" t="n">
        <v>47</v>
      </c>
      <c r="C52" s="27" t="n">
        <v>44896</v>
      </c>
      <c r="D52" s="14" t="n">
        <v>0</v>
      </c>
      <c r="E52" s="14" t="inlineStr">
        <is>
          <t>PLACEBO</t>
        </is>
      </c>
      <c r="F52" s="14" t="n">
        <v>23</v>
      </c>
      <c r="G52" s="14" t="n">
        <v>24</v>
      </c>
      <c r="H52" s="14" t="n">
        <v>47</v>
      </c>
      <c r="I52" s="27" t="n">
        <v>45616</v>
      </c>
      <c r="J52" s="29" t="n">
        <v>1</v>
      </c>
      <c r="K52" s="29" t="n">
        <v>0</v>
      </c>
      <c r="L52" s="29">
        <f>+K52+J52</f>
        <v/>
      </c>
    </row>
    <row r="53" ht="13" customFormat="1" customHeight="1" s="14">
      <c r="B53" s="14" t="n">
        <v>48</v>
      </c>
      <c r="C53" s="27" t="n">
        <v>44896</v>
      </c>
      <c r="D53" s="14" t="n">
        <v>0</v>
      </c>
      <c r="E53" s="14" t="inlineStr">
        <is>
          <t>PLACEBO</t>
        </is>
      </c>
      <c r="F53" s="14" t="n">
        <v>23</v>
      </c>
      <c r="G53" s="14" t="n">
        <v>25</v>
      </c>
      <c r="H53" s="14" t="n">
        <v>48</v>
      </c>
      <c r="I53" s="27" t="n">
        <v>45616</v>
      </c>
      <c r="J53" s="29" t="n">
        <v>1</v>
      </c>
      <c r="K53" s="29" t="n">
        <v>0</v>
      </c>
      <c r="L53" s="29">
        <f>+K53+J53</f>
        <v/>
      </c>
    </row>
    <row r="54" ht="13" customFormat="1" customHeight="1" s="14">
      <c r="B54" s="14" t="n">
        <v>49</v>
      </c>
      <c r="C54" s="27" t="n">
        <v>44927</v>
      </c>
      <c r="D54" s="14" t="n">
        <v>1</v>
      </c>
      <c r="E54" s="14" t="inlineStr">
        <is>
          <t>DRUG</t>
        </is>
      </c>
      <c r="F54" s="14" t="n">
        <v>24</v>
      </c>
      <c r="G54" s="14" t="n">
        <v>25</v>
      </c>
      <c r="H54" s="14" t="n">
        <v>49</v>
      </c>
      <c r="I54" s="27" t="n">
        <v>45647</v>
      </c>
      <c r="J54" s="29" t="n">
        <v>1</v>
      </c>
      <c r="K54" s="29" t="n">
        <v>1</v>
      </c>
      <c r="L54" s="29">
        <f>+K54+J54</f>
        <v/>
      </c>
    </row>
    <row r="55" ht="13" customFormat="1" customHeight="1" s="14">
      <c r="B55" s="14" t="n">
        <v>50</v>
      </c>
      <c r="C55" s="27" t="n">
        <v>44927</v>
      </c>
      <c r="D55" s="14" t="n">
        <v>0</v>
      </c>
      <c r="E55" s="14" t="inlineStr">
        <is>
          <t>PLACEBO</t>
        </is>
      </c>
      <c r="F55" s="14" t="n">
        <v>24</v>
      </c>
      <c r="G55" s="14" t="n">
        <v>26</v>
      </c>
      <c r="H55" s="14" t="n">
        <v>50</v>
      </c>
      <c r="I55" s="27" t="n">
        <v>45647</v>
      </c>
      <c r="J55" s="29" t="n">
        <v>1</v>
      </c>
      <c r="K55" s="29" t="n">
        <v>1</v>
      </c>
      <c r="L55" s="29">
        <f>+K55+J55</f>
        <v/>
      </c>
    </row>
    <row r="56" ht="13" customFormat="1" customHeight="1" s="14">
      <c r="B56" s="14" t="n">
        <v>51</v>
      </c>
      <c r="C56" s="27" t="n">
        <v>44927</v>
      </c>
      <c r="D56" s="14" t="n">
        <v>0</v>
      </c>
      <c r="E56" s="14" t="inlineStr">
        <is>
          <t>PLACEBO</t>
        </is>
      </c>
      <c r="F56" s="14" t="n">
        <v>24</v>
      </c>
      <c r="G56" s="14" t="n">
        <v>27</v>
      </c>
      <c r="H56" s="14" t="n">
        <v>51</v>
      </c>
      <c r="I56" s="27" t="n">
        <v>45647</v>
      </c>
      <c r="J56" s="29" t="n">
        <v>1</v>
      </c>
      <c r="K56" s="29" t="n">
        <v>1</v>
      </c>
      <c r="L56" s="29">
        <f>+K56+J56</f>
        <v/>
      </c>
    </row>
    <row r="57" ht="13" customFormat="1" customHeight="1" s="14">
      <c r="B57" s="14" t="n">
        <v>52</v>
      </c>
      <c r="C57" s="27" t="n">
        <v>44927</v>
      </c>
      <c r="D57" s="14" t="n">
        <v>0</v>
      </c>
      <c r="E57" s="14" t="inlineStr">
        <is>
          <t>PLACEBO</t>
        </is>
      </c>
      <c r="F57" s="14" t="n">
        <v>24</v>
      </c>
      <c r="G57" s="14" t="n">
        <v>28</v>
      </c>
      <c r="H57" s="14" t="n">
        <v>52</v>
      </c>
      <c r="I57" s="27" t="n">
        <v>45647</v>
      </c>
      <c r="J57" s="29" t="n">
        <v>1</v>
      </c>
      <c r="K57" s="29" t="n">
        <v>1</v>
      </c>
      <c r="L57" s="29">
        <f>+K57+J57</f>
        <v/>
      </c>
    </row>
    <row r="58" ht="13" customFormat="1" customHeight="1" s="14">
      <c r="B58" s="14" t="n">
        <v>53</v>
      </c>
      <c r="C58" s="27" t="n">
        <v>44927</v>
      </c>
      <c r="D58" s="14" t="n">
        <v>0</v>
      </c>
      <c r="E58" s="14" t="inlineStr">
        <is>
          <t>PLACEBO</t>
        </is>
      </c>
      <c r="F58" s="14" t="n">
        <v>24</v>
      </c>
      <c r="G58" s="14" t="n">
        <v>29</v>
      </c>
      <c r="H58" s="14" t="n">
        <v>53</v>
      </c>
      <c r="I58" s="27" t="n">
        <v>45647</v>
      </c>
      <c r="J58" s="29" t="n">
        <v>1</v>
      </c>
      <c r="K58" s="29" t="n">
        <v>1</v>
      </c>
      <c r="L58" s="29">
        <f>+K58+J58</f>
        <v/>
      </c>
    </row>
    <row r="59">
      <c r="B59" t="n">
        <v>54</v>
      </c>
      <c r="C59" s="26" t="n">
        <v>44958</v>
      </c>
      <c r="D59" t="n">
        <v>0</v>
      </c>
      <c r="E59" t="inlineStr">
        <is>
          <t>PLACEBO</t>
        </is>
      </c>
      <c r="F59" t="n">
        <v>24</v>
      </c>
      <c r="G59" t="n">
        <v>30</v>
      </c>
      <c r="H59" t="n">
        <v>54</v>
      </c>
      <c r="I59" s="26" t="n">
        <v>45678</v>
      </c>
      <c r="J59" s="32" t="n">
        <v>1</v>
      </c>
      <c r="K59" s="32" t="n">
        <v>2</v>
      </c>
      <c r="L59" s="32">
        <f>+K59+J59</f>
        <v/>
      </c>
    </row>
    <row r="60">
      <c r="B60" t="n">
        <v>55</v>
      </c>
      <c r="C60" s="26" t="n">
        <v>44958</v>
      </c>
      <c r="D60" t="n">
        <v>1</v>
      </c>
      <c r="E60" t="inlineStr">
        <is>
          <t>DRUG</t>
        </is>
      </c>
      <c r="F60" t="n">
        <v>25</v>
      </c>
      <c r="G60" t="n">
        <v>30</v>
      </c>
      <c r="H60" t="n">
        <v>55</v>
      </c>
      <c r="I60" s="26" t="n">
        <v>45678</v>
      </c>
      <c r="J60" s="32" t="n">
        <v>1</v>
      </c>
      <c r="K60" s="32" t="n">
        <v>2</v>
      </c>
      <c r="L60" s="32">
        <f>+K60+J60</f>
        <v/>
      </c>
    </row>
    <row r="61">
      <c r="B61" t="n">
        <v>56</v>
      </c>
      <c r="C61" s="26" t="n">
        <v>44958</v>
      </c>
      <c r="D61" t="n">
        <v>0</v>
      </c>
      <c r="E61" t="inlineStr">
        <is>
          <t>PLACEBO</t>
        </is>
      </c>
      <c r="F61" t="n">
        <v>25</v>
      </c>
      <c r="G61" t="n">
        <v>31</v>
      </c>
      <c r="H61" t="n">
        <v>56</v>
      </c>
      <c r="I61" s="26" t="n">
        <v>45678</v>
      </c>
      <c r="J61" s="32" t="n">
        <v>1</v>
      </c>
      <c r="K61" s="32" t="n">
        <v>2</v>
      </c>
      <c r="L61" s="32">
        <f>+K61+J61</f>
        <v/>
      </c>
    </row>
    <row r="62">
      <c r="B62" t="n">
        <v>57</v>
      </c>
      <c r="C62" s="26" t="n">
        <v>44958</v>
      </c>
      <c r="D62" t="n">
        <v>0</v>
      </c>
      <c r="E62" t="inlineStr">
        <is>
          <t>PLACEBO</t>
        </is>
      </c>
      <c r="F62" t="n">
        <v>25</v>
      </c>
      <c r="G62" t="n">
        <v>32</v>
      </c>
      <c r="H62" t="n">
        <v>57</v>
      </c>
      <c r="I62" s="26" t="n">
        <v>45678</v>
      </c>
      <c r="J62" s="32" t="n">
        <v>1</v>
      </c>
      <c r="K62" s="32" t="n">
        <v>2</v>
      </c>
      <c r="L62" s="32">
        <f>+K62+J62</f>
        <v/>
      </c>
    </row>
    <row r="63">
      <c r="B63" t="n">
        <v>58</v>
      </c>
      <c r="C63" s="26" t="n">
        <v>44958</v>
      </c>
      <c r="D63" t="n">
        <v>1</v>
      </c>
      <c r="E63" t="inlineStr">
        <is>
          <t>DRUG</t>
        </is>
      </c>
      <c r="F63" t="n">
        <v>26</v>
      </c>
      <c r="G63" t="n">
        <v>32</v>
      </c>
      <c r="H63" t="n">
        <v>58</v>
      </c>
      <c r="I63" s="26" t="n">
        <v>45678</v>
      </c>
      <c r="J63" s="32" t="n">
        <v>1</v>
      </c>
      <c r="K63" s="32" t="n">
        <v>2</v>
      </c>
      <c r="L63" s="32">
        <f>+K63+J63</f>
        <v/>
      </c>
    </row>
    <row r="64">
      <c r="B64" t="n">
        <v>59</v>
      </c>
      <c r="C64" s="26" t="n">
        <v>44986</v>
      </c>
      <c r="D64" t="n">
        <v>1</v>
      </c>
      <c r="E64" t="inlineStr">
        <is>
          <t>DRUG</t>
        </is>
      </c>
      <c r="F64" t="n">
        <v>27</v>
      </c>
      <c r="G64" t="n">
        <v>32</v>
      </c>
      <c r="H64" t="n">
        <v>59</v>
      </c>
      <c r="I64" s="26" t="n">
        <v>45706</v>
      </c>
      <c r="J64" s="32" t="n">
        <v>2</v>
      </c>
      <c r="K64" s="32" t="n">
        <v>2</v>
      </c>
      <c r="L64" s="32">
        <f>+K64+J64</f>
        <v/>
      </c>
    </row>
    <row r="65">
      <c r="B65" t="n">
        <v>60</v>
      </c>
      <c r="C65" s="26" t="n">
        <v>44986</v>
      </c>
      <c r="D65" t="n">
        <v>0</v>
      </c>
      <c r="E65" t="inlineStr">
        <is>
          <t>PLACEBO</t>
        </is>
      </c>
      <c r="F65" t="n">
        <v>27</v>
      </c>
      <c r="G65" t="n">
        <v>33</v>
      </c>
      <c r="H65" t="n">
        <v>60</v>
      </c>
      <c r="I65" s="26" t="n">
        <v>45706</v>
      </c>
      <c r="J65" s="32" t="n">
        <v>2</v>
      </c>
      <c r="K65" s="32" t="n">
        <v>2</v>
      </c>
      <c r="L65" s="32">
        <f>+K65+J65</f>
        <v/>
      </c>
    </row>
    <row r="66">
      <c r="B66" t="n">
        <v>61</v>
      </c>
      <c r="C66" s="26" t="n">
        <v>44986</v>
      </c>
      <c r="D66" t="n">
        <v>0</v>
      </c>
      <c r="E66" t="inlineStr">
        <is>
          <t>PLACEBO</t>
        </is>
      </c>
      <c r="F66" t="n">
        <v>27</v>
      </c>
      <c r="G66" t="n">
        <v>34</v>
      </c>
      <c r="H66" t="n">
        <v>61</v>
      </c>
      <c r="I66" s="26" t="n">
        <v>45706</v>
      </c>
      <c r="J66" s="32" t="n">
        <v>2</v>
      </c>
      <c r="K66" s="32" t="n">
        <v>2</v>
      </c>
      <c r="L66" s="32">
        <f>+K66+J66</f>
        <v/>
      </c>
    </row>
    <row r="67">
      <c r="B67" t="n">
        <v>62</v>
      </c>
      <c r="C67" s="26" t="n">
        <v>44986</v>
      </c>
      <c r="D67" t="n">
        <v>0</v>
      </c>
      <c r="E67" t="inlineStr">
        <is>
          <t>PLACEBO</t>
        </is>
      </c>
      <c r="F67" t="n">
        <v>27</v>
      </c>
      <c r="G67" t="n">
        <v>35</v>
      </c>
      <c r="H67" t="n">
        <v>62</v>
      </c>
      <c r="I67" s="26" t="n">
        <v>45706</v>
      </c>
      <c r="J67" s="32" t="n">
        <v>2</v>
      </c>
      <c r="K67" s="32" t="n">
        <v>2</v>
      </c>
      <c r="L67" s="32">
        <f>+K67+J67</f>
        <v/>
      </c>
    </row>
    <row r="68">
      <c r="B68" t="n">
        <v>63</v>
      </c>
      <c r="C68" s="26" t="n">
        <v>44986</v>
      </c>
      <c r="D68" t="n">
        <v>0</v>
      </c>
      <c r="E68" t="inlineStr">
        <is>
          <t>PLACEBO</t>
        </is>
      </c>
      <c r="F68" t="n">
        <v>27</v>
      </c>
      <c r="G68" t="n">
        <v>36</v>
      </c>
      <c r="H68" t="n">
        <v>63</v>
      </c>
      <c r="I68" s="26" t="n">
        <v>45706</v>
      </c>
      <c r="J68" s="32" t="n">
        <v>2</v>
      </c>
      <c r="K68" s="32" t="n">
        <v>2</v>
      </c>
      <c r="L68" s="32">
        <f>+K68+J68</f>
        <v/>
      </c>
    </row>
    <row r="69">
      <c r="B69" t="n">
        <v>64</v>
      </c>
      <c r="C69" s="26" t="n">
        <v>45017</v>
      </c>
      <c r="D69" t="n">
        <v>1</v>
      </c>
      <c r="E69" t="inlineStr">
        <is>
          <t>DRUG</t>
        </is>
      </c>
      <c r="F69" t="n">
        <v>28</v>
      </c>
      <c r="G69" t="n">
        <v>36</v>
      </c>
      <c r="H69" t="n">
        <v>64</v>
      </c>
      <c r="I69" s="26" t="n">
        <v>45737</v>
      </c>
      <c r="J69" s="32" t="n">
        <v>2</v>
      </c>
      <c r="K69" s="32" t="n">
        <v>3</v>
      </c>
      <c r="L69" s="32">
        <f>+K69+J69</f>
        <v/>
      </c>
    </row>
    <row r="70">
      <c r="B70" t="n">
        <v>65</v>
      </c>
      <c r="C70" s="26" t="n">
        <v>45017</v>
      </c>
      <c r="D70" t="n">
        <v>1</v>
      </c>
      <c r="E70" t="inlineStr">
        <is>
          <t>DRUG</t>
        </is>
      </c>
      <c r="F70" t="n">
        <v>29</v>
      </c>
      <c r="G70" t="n">
        <v>36</v>
      </c>
      <c r="H70" t="n">
        <v>65</v>
      </c>
      <c r="I70" s="26" t="n">
        <v>45737</v>
      </c>
      <c r="J70" s="32" t="n">
        <v>2</v>
      </c>
      <c r="K70" s="32" t="n">
        <v>3</v>
      </c>
      <c r="L70" s="32">
        <f>+K70+J70</f>
        <v/>
      </c>
    </row>
    <row r="71">
      <c r="B71" t="n">
        <v>66</v>
      </c>
      <c r="C71" s="26" t="n">
        <v>45017</v>
      </c>
      <c r="D71" t="n">
        <v>1</v>
      </c>
      <c r="E71" t="inlineStr">
        <is>
          <t>DRUG</t>
        </is>
      </c>
      <c r="F71" t="n">
        <v>30</v>
      </c>
      <c r="G71" t="n">
        <v>36</v>
      </c>
      <c r="H71" t="n">
        <v>66</v>
      </c>
      <c r="I71" s="26" t="n">
        <v>45737</v>
      </c>
      <c r="J71" s="32" t="n">
        <v>2</v>
      </c>
      <c r="K71" s="32" t="n">
        <v>3</v>
      </c>
      <c r="L71" s="32">
        <f>+K71+J71</f>
        <v/>
      </c>
    </row>
    <row r="72">
      <c r="B72" t="n">
        <v>67</v>
      </c>
      <c r="C72" s="26" t="n">
        <v>45017</v>
      </c>
      <c r="D72" t="n">
        <v>0</v>
      </c>
      <c r="E72" t="inlineStr">
        <is>
          <t>PLACEBO</t>
        </is>
      </c>
      <c r="F72" t="n">
        <v>30</v>
      </c>
      <c r="G72" t="n">
        <v>37</v>
      </c>
      <c r="H72" t="n">
        <v>67</v>
      </c>
      <c r="I72" s="26" t="n">
        <v>45737</v>
      </c>
      <c r="J72" s="32" t="n">
        <v>2</v>
      </c>
      <c r="K72" s="32" t="n">
        <v>3</v>
      </c>
      <c r="L72" s="32">
        <f>+K72+J72</f>
        <v/>
      </c>
    </row>
    <row r="73">
      <c r="B73" t="n">
        <v>68</v>
      </c>
      <c r="C73" s="26" t="n">
        <v>45017</v>
      </c>
      <c r="D73" t="n">
        <v>0</v>
      </c>
      <c r="E73" t="inlineStr">
        <is>
          <t>PLACEBO</t>
        </is>
      </c>
      <c r="F73" t="n">
        <v>30</v>
      </c>
      <c r="G73" t="n">
        <v>38</v>
      </c>
      <c r="H73" t="n">
        <v>68</v>
      </c>
      <c r="I73" s="26" t="n">
        <v>45737</v>
      </c>
      <c r="J73" s="32" t="n">
        <v>2</v>
      </c>
      <c r="K73" s="32" t="n">
        <v>3</v>
      </c>
      <c r="L73" s="32">
        <f>+K73+J73</f>
        <v/>
      </c>
    </row>
    <row r="74">
      <c r="B74" t="n">
        <v>69</v>
      </c>
      <c r="C74" s="26" t="n">
        <v>45047</v>
      </c>
      <c r="D74" t="n">
        <v>0</v>
      </c>
      <c r="E74" t="inlineStr">
        <is>
          <t>PLACEBO</t>
        </is>
      </c>
      <c r="F74" t="n">
        <v>30</v>
      </c>
      <c r="G74" t="n">
        <v>39</v>
      </c>
      <c r="H74" t="n">
        <v>69</v>
      </c>
      <c r="I74" s="26" t="n">
        <v>45767</v>
      </c>
      <c r="J74" s="32" t="n">
        <v>2</v>
      </c>
      <c r="K74" s="32" t="n">
        <v>4</v>
      </c>
      <c r="L74" s="32">
        <f>+K74+J74</f>
        <v/>
      </c>
    </row>
    <row r="75">
      <c r="B75" t="n">
        <v>70</v>
      </c>
      <c r="C75" s="26" t="n">
        <v>45047</v>
      </c>
      <c r="D75" t="n">
        <v>0</v>
      </c>
      <c r="E75" t="inlineStr">
        <is>
          <t>PLACEBO</t>
        </is>
      </c>
      <c r="F75" t="n">
        <v>30</v>
      </c>
      <c r="G75" t="n">
        <v>40</v>
      </c>
      <c r="H75" t="n">
        <v>70</v>
      </c>
      <c r="I75" s="26" t="n">
        <v>45767</v>
      </c>
      <c r="J75" s="32" t="n">
        <v>2</v>
      </c>
      <c r="K75" s="32" t="n">
        <v>4</v>
      </c>
      <c r="L75" s="32">
        <f>+K75+J75</f>
        <v/>
      </c>
    </row>
    <row r="76">
      <c r="B76" t="n">
        <v>71</v>
      </c>
      <c r="C76" s="26" t="n">
        <v>45047</v>
      </c>
      <c r="D76" t="n">
        <v>0</v>
      </c>
      <c r="E76" t="inlineStr">
        <is>
          <t>PLACEBO</t>
        </is>
      </c>
      <c r="F76" t="n">
        <v>30</v>
      </c>
      <c r="G76" t="n">
        <v>41</v>
      </c>
      <c r="H76" t="n">
        <v>71</v>
      </c>
      <c r="I76" s="26" t="n">
        <v>45767</v>
      </c>
      <c r="J76" s="32" t="n">
        <v>2</v>
      </c>
      <c r="K76" s="32" t="n">
        <v>4</v>
      </c>
      <c r="L76" s="32">
        <f>+K76+J76</f>
        <v/>
      </c>
    </row>
    <row r="77">
      <c r="B77" t="n">
        <v>72</v>
      </c>
      <c r="C77" s="26" t="n">
        <v>45047</v>
      </c>
      <c r="D77" t="n">
        <v>0</v>
      </c>
      <c r="E77" t="inlineStr">
        <is>
          <t>PLACEBO</t>
        </is>
      </c>
      <c r="F77" t="n">
        <v>30</v>
      </c>
      <c r="G77" t="n">
        <v>42</v>
      </c>
      <c r="H77" t="n">
        <v>72</v>
      </c>
      <c r="I77" s="26" t="n">
        <v>45767</v>
      </c>
      <c r="J77" s="32" t="n">
        <v>2</v>
      </c>
      <c r="K77" s="32" t="n">
        <v>4</v>
      </c>
      <c r="L77" s="32">
        <f>+K77+J77</f>
        <v/>
      </c>
    </row>
    <row r="78">
      <c r="B78" t="n">
        <v>73</v>
      </c>
      <c r="C78" s="26" t="n">
        <v>45047</v>
      </c>
      <c r="D78" t="n">
        <v>0</v>
      </c>
      <c r="E78" t="inlineStr">
        <is>
          <t>PLACEBO</t>
        </is>
      </c>
      <c r="F78" t="n">
        <v>30</v>
      </c>
      <c r="G78" t="n">
        <v>43</v>
      </c>
      <c r="H78" t="n">
        <v>73</v>
      </c>
      <c r="I78" s="26" t="n">
        <v>45767</v>
      </c>
      <c r="J78" s="32" t="n">
        <v>2</v>
      </c>
      <c r="K78" s="32" t="n">
        <v>4</v>
      </c>
      <c r="L78" s="32">
        <f>+K78+J78</f>
        <v/>
      </c>
    </row>
    <row r="79">
      <c r="B79" t="n">
        <v>74</v>
      </c>
      <c r="C79" s="26" t="n">
        <v>45078</v>
      </c>
      <c r="D79" t="n">
        <v>0</v>
      </c>
      <c r="E79" t="inlineStr">
        <is>
          <t>PLACEBO</t>
        </is>
      </c>
      <c r="F79" t="n">
        <v>30</v>
      </c>
      <c r="G79" t="n">
        <v>44</v>
      </c>
      <c r="H79" t="n">
        <v>74</v>
      </c>
      <c r="I79" s="26" t="n">
        <v>45798</v>
      </c>
      <c r="J79" s="32" t="n">
        <v>3</v>
      </c>
      <c r="K79" s="32" t="n">
        <v>4</v>
      </c>
      <c r="L79" s="32">
        <f>+K79+J79</f>
        <v/>
      </c>
    </row>
    <row r="80">
      <c r="B80" t="n">
        <v>75</v>
      </c>
      <c r="C80" s="26" t="n">
        <v>45078</v>
      </c>
      <c r="D80" t="n">
        <v>1</v>
      </c>
      <c r="E80" t="inlineStr">
        <is>
          <t>DRUG</t>
        </is>
      </c>
      <c r="F80" t="n">
        <v>31</v>
      </c>
      <c r="G80" t="n">
        <v>44</v>
      </c>
      <c r="H80" t="n">
        <v>75</v>
      </c>
      <c r="I80" s="26" t="n">
        <v>45798</v>
      </c>
      <c r="J80" s="32" t="n">
        <v>3</v>
      </c>
      <c r="K80" s="32" t="n">
        <v>4</v>
      </c>
      <c r="L80" s="32">
        <f>+K80+J80</f>
        <v/>
      </c>
    </row>
    <row r="81">
      <c r="B81" t="n">
        <v>76</v>
      </c>
      <c r="C81" s="26" t="n">
        <v>45078</v>
      </c>
      <c r="D81" t="n">
        <v>1</v>
      </c>
      <c r="E81" t="inlineStr">
        <is>
          <t>DRUG</t>
        </is>
      </c>
      <c r="F81" t="n">
        <v>32</v>
      </c>
      <c r="G81" t="n">
        <v>44</v>
      </c>
      <c r="H81" t="n">
        <v>76</v>
      </c>
      <c r="I81" s="26" t="n">
        <v>45798</v>
      </c>
      <c r="J81" s="32" t="n">
        <v>3</v>
      </c>
      <c r="K81" s="32" t="n">
        <v>4</v>
      </c>
      <c r="L81" s="32">
        <f>+K81+J81</f>
        <v/>
      </c>
    </row>
    <row r="82">
      <c r="B82" t="n">
        <v>77</v>
      </c>
      <c r="C82" s="26" t="n">
        <v>45078</v>
      </c>
      <c r="D82" t="n">
        <v>0</v>
      </c>
      <c r="E82" t="inlineStr">
        <is>
          <t>PLACEBO</t>
        </is>
      </c>
      <c r="F82" t="n">
        <v>32</v>
      </c>
      <c r="G82" t="n">
        <v>45</v>
      </c>
      <c r="H82" t="n">
        <v>77</v>
      </c>
      <c r="I82" s="26" t="n">
        <v>45798</v>
      </c>
      <c r="J82" s="32" t="n">
        <v>3</v>
      </c>
      <c r="K82" s="32" t="n">
        <v>4</v>
      </c>
      <c r="L82" s="32">
        <f>+K82+J82</f>
        <v/>
      </c>
    </row>
    <row r="83">
      <c r="B83" t="n">
        <v>78</v>
      </c>
      <c r="C83" s="26" t="n">
        <v>45078</v>
      </c>
      <c r="D83" t="n">
        <v>1</v>
      </c>
      <c r="E83" t="inlineStr">
        <is>
          <t>DRUG</t>
        </is>
      </c>
      <c r="F83" t="n">
        <v>33</v>
      </c>
      <c r="G83" t="n">
        <v>45</v>
      </c>
      <c r="H83" t="n">
        <v>78</v>
      </c>
      <c r="I83" s="26" t="n">
        <v>45798</v>
      </c>
      <c r="J83" s="32" t="n">
        <v>3</v>
      </c>
      <c r="K83" s="32" t="n">
        <v>4</v>
      </c>
      <c r="L83" s="32">
        <f>+K83+J83</f>
        <v/>
      </c>
    </row>
    <row r="84">
      <c r="B84" t="n">
        <v>79</v>
      </c>
      <c r="C84" s="26" t="n">
        <v>45108</v>
      </c>
      <c r="D84" t="n">
        <v>0</v>
      </c>
      <c r="E84" t="inlineStr">
        <is>
          <t>PLACEBO</t>
        </is>
      </c>
      <c r="F84" t="n">
        <v>33</v>
      </c>
      <c r="G84" t="n">
        <v>46</v>
      </c>
      <c r="H84" t="n">
        <v>79</v>
      </c>
      <c r="I84" s="26" t="n">
        <v>45828</v>
      </c>
      <c r="J84" s="32" t="n">
        <v>4</v>
      </c>
      <c r="K84" s="32" t="n">
        <v>4</v>
      </c>
      <c r="L84" s="32">
        <f>+K84+J84</f>
        <v/>
      </c>
    </row>
    <row r="85">
      <c r="B85" t="n">
        <v>80</v>
      </c>
      <c r="C85" s="26" t="n">
        <v>45108</v>
      </c>
      <c r="D85" t="n">
        <v>1</v>
      </c>
      <c r="E85" t="inlineStr">
        <is>
          <t>DRUG</t>
        </is>
      </c>
      <c r="F85" t="n">
        <v>34</v>
      </c>
      <c r="G85" t="n">
        <v>46</v>
      </c>
      <c r="H85" t="n">
        <v>80</v>
      </c>
      <c r="I85" s="26" t="n">
        <v>45828</v>
      </c>
      <c r="J85" s="32" t="n">
        <v>4</v>
      </c>
      <c r="K85" s="32" t="n">
        <v>4</v>
      </c>
      <c r="L85" s="32">
        <f>+K85+J85</f>
        <v/>
      </c>
    </row>
    <row r="86">
      <c r="B86" t="n">
        <v>81</v>
      </c>
      <c r="C86" s="26" t="n">
        <v>45108</v>
      </c>
      <c r="D86" t="n">
        <v>1</v>
      </c>
      <c r="E86" t="inlineStr">
        <is>
          <t>DRUG</t>
        </is>
      </c>
      <c r="F86" t="n">
        <v>35</v>
      </c>
      <c r="G86" t="n">
        <v>46</v>
      </c>
      <c r="H86" t="n">
        <v>81</v>
      </c>
      <c r="I86" s="26" t="n">
        <v>45828</v>
      </c>
      <c r="J86" s="32" t="n">
        <v>4</v>
      </c>
      <c r="K86" s="32" t="n">
        <v>4</v>
      </c>
      <c r="L86" s="32">
        <f>+K86+J86</f>
        <v/>
      </c>
    </row>
    <row r="87">
      <c r="B87" t="n">
        <v>82</v>
      </c>
      <c r="C87" s="26" t="n">
        <v>45108</v>
      </c>
      <c r="D87" t="n">
        <v>1</v>
      </c>
      <c r="E87" t="inlineStr">
        <is>
          <t>DRUG</t>
        </is>
      </c>
      <c r="F87" t="n">
        <v>36</v>
      </c>
      <c r="G87" t="n">
        <v>46</v>
      </c>
      <c r="H87" t="n">
        <v>82</v>
      </c>
      <c r="I87" s="26" t="n">
        <v>45828</v>
      </c>
      <c r="J87" s="32" t="n">
        <v>4</v>
      </c>
      <c r="K87" s="32" t="n">
        <v>4</v>
      </c>
      <c r="L87" s="32">
        <f>+K87+J87</f>
        <v/>
      </c>
    </row>
    <row r="88">
      <c r="B88" t="n">
        <v>83</v>
      </c>
      <c r="C88" s="26" t="n">
        <v>45108</v>
      </c>
      <c r="D88" t="n">
        <v>1</v>
      </c>
      <c r="E88" t="inlineStr">
        <is>
          <t>DRUG</t>
        </is>
      </c>
      <c r="F88" t="n">
        <v>37</v>
      </c>
      <c r="G88" t="n">
        <v>46</v>
      </c>
      <c r="H88" t="n">
        <v>83</v>
      </c>
      <c r="I88" s="26" t="n">
        <v>45828</v>
      </c>
      <c r="J88" s="32" t="n">
        <v>4</v>
      </c>
      <c r="K88" s="32" t="n">
        <v>4</v>
      </c>
      <c r="L88" s="32">
        <f>+K88+J88</f>
        <v/>
      </c>
    </row>
    <row r="89">
      <c r="B89" t="n">
        <v>84</v>
      </c>
      <c r="C89" s="26" t="n">
        <v>45139</v>
      </c>
      <c r="D89" t="n">
        <v>0</v>
      </c>
      <c r="E89" t="inlineStr">
        <is>
          <t>PLACEBO</t>
        </is>
      </c>
      <c r="F89" t="n">
        <v>37</v>
      </c>
      <c r="G89" t="n">
        <v>47</v>
      </c>
      <c r="H89" t="n">
        <v>84</v>
      </c>
      <c r="I89" s="26" t="n">
        <v>45859</v>
      </c>
      <c r="J89" s="32" t="n">
        <v>4</v>
      </c>
      <c r="K89" s="32" t="n">
        <v>5</v>
      </c>
      <c r="L89" s="32">
        <f>+K89+J89</f>
        <v/>
      </c>
    </row>
    <row r="90">
      <c r="B90" t="n">
        <v>85</v>
      </c>
      <c r="C90" s="26" t="n">
        <v>45139</v>
      </c>
      <c r="D90" t="n">
        <v>0</v>
      </c>
      <c r="E90" t="inlineStr">
        <is>
          <t>PLACEBO</t>
        </is>
      </c>
      <c r="F90" t="n">
        <v>37</v>
      </c>
      <c r="G90" t="n">
        <v>48</v>
      </c>
      <c r="H90" t="n">
        <v>85</v>
      </c>
      <c r="I90" s="26" t="n">
        <v>45859</v>
      </c>
      <c r="J90" s="32" t="n">
        <v>4</v>
      </c>
      <c r="K90" s="32" t="n">
        <v>5</v>
      </c>
      <c r="L90" s="32">
        <f>+K90+J90</f>
        <v/>
      </c>
    </row>
    <row r="91">
      <c r="B91" t="n">
        <v>86</v>
      </c>
      <c r="C91" s="26" t="n">
        <v>45139</v>
      </c>
      <c r="D91" t="n">
        <v>0</v>
      </c>
      <c r="E91" t="inlineStr">
        <is>
          <t>PLACEBO</t>
        </is>
      </c>
      <c r="F91" t="n">
        <v>37</v>
      </c>
      <c r="G91" t="n">
        <v>49</v>
      </c>
      <c r="H91" t="n">
        <v>86</v>
      </c>
      <c r="I91" s="26" t="n">
        <v>45859</v>
      </c>
      <c r="J91" s="32" t="n">
        <v>4</v>
      </c>
      <c r="K91" s="32" t="n">
        <v>5</v>
      </c>
      <c r="L91" s="32">
        <f>+K91+J91</f>
        <v/>
      </c>
    </row>
    <row r="92">
      <c r="B92" t="n">
        <v>87</v>
      </c>
      <c r="C92" s="26" t="n">
        <v>45139</v>
      </c>
      <c r="D92" t="n">
        <v>0</v>
      </c>
      <c r="E92" t="inlineStr">
        <is>
          <t>PLACEBO</t>
        </is>
      </c>
      <c r="F92" t="n">
        <v>37</v>
      </c>
      <c r="G92" t="n">
        <v>50</v>
      </c>
      <c r="H92" t="n">
        <v>87</v>
      </c>
      <c r="I92" s="26" t="n">
        <v>45859</v>
      </c>
      <c r="J92" s="32" t="n">
        <v>4</v>
      </c>
      <c r="K92" s="32" t="n">
        <v>5</v>
      </c>
      <c r="L92" s="32">
        <f>+K92+J92</f>
        <v/>
      </c>
    </row>
    <row r="93">
      <c r="B93" t="n">
        <v>88</v>
      </c>
      <c r="C93" s="26" t="n">
        <v>45139</v>
      </c>
      <c r="D93" t="n">
        <v>1</v>
      </c>
      <c r="E93" t="inlineStr">
        <is>
          <t>DRUG</t>
        </is>
      </c>
      <c r="F93" t="n">
        <v>38</v>
      </c>
      <c r="G93" t="n">
        <v>50</v>
      </c>
      <c r="H93" t="n">
        <v>88</v>
      </c>
      <c r="I93" s="26" t="n">
        <v>45859</v>
      </c>
      <c r="J93" s="32" t="n">
        <v>4</v>
      </c>
      <c r="K93" s="32" t="n">
        <v>5</v>
      </c>
      <c r="L93" s="32">
        <f>+K93+J93</f>
        <v/>
      </c>
    </row>
    <row r="94">
      <c r="B94" t="n">
        <v>89</v>
      </c>
      <c r="C94" s="26" t="n">
        <v>45170</v>
      </c>
      <c r="D94" t="n">
        <v>1</v>
      </c>
      <c r="E94" t="inlineStr">
        <is>
          <t>DRUG</t>
        </is>
      </c>
      <c r="F94" t="n">
        <v>39</v>
      </c>
      <c r="G94" t="n">
        <v>50</v>
      </c>
      <c r="H94" t="n">
        <v>89</v>
      </c>
      <c r="I94" s="26" t="n">
        <v>45890</v>
      </c>
      <c r="J94" s="32" t="n">
        <v>5</v>
      </c>
      <c r="K94" s="32" t="n">
        <v>5</v>
      </c>
      <c r="L94" s="32">
        <f>+K94+J94</f>
        <v/>
      </c>
    </row>
    <row r="95">
      <c r="B95" t="n">
        <v>90</v>
      </c>
      <c r="C95" s="26" t="n">
        <v>45170</v>
      </c>
      <c r="D95" t="n">
        <v>0</v>
      </c>
      <c r="E95" t="inlineStr">
        <is>
          <t>PLACEBO</t>
        </is>
      </c>
      <c r="F95" t="n">
        <v>39</v>
      </c>
      <c r="G95" t="n">
        <v>51</v>
      </c>
      <c r="H95" t="n">
        <v>90</v>
      </c>
      <c r="I95" s="26" t="n">
        <v>45890</v>
      </c>
      <c r="J95" s="32" t="n">
        <v>5</v>
      </c>
      <c r="K95" s="32" t="n">
        <v>5</v>
      </c>
      <c r="L95" s="32">
        <f>+K95+J95</f>
        <v/>
      </c>
    </row>
    <row r="96">
      <c r="B96" t="n">
        <v>91</v>
      </c>
      <c r="C96" s="26" t="n">
        <v>45170</v>
      </c>
      <c r="D96" t="n">
        <v>1</v>
      </c>
      <c r="E96" t="inlineStr">
        <is>
          <t>DRUG</t>
        </is>
      </c>
      <c r="F96" t="n">
        <v>40</v>
      </c>
      <c r="G96" t="n">
        <v>51</v>
      </c>
      <c r="H96" t="n">
        <v>91</v>
      </c>
      <c r="I96" s="26" t="n">
        <v>45890</v>
      </c>
      <c r="J96" s="32" t="n">
        <v>5</v>
      </c>
      <c r="K96" s="32" t="n">
        <v>5</v>
      </c>
      <c r="L96" s="32">
        <f>+K96+J96</f>
        <v/>
      </c>
    </row>
    <row r="97">
      <c r="B97" t="n">
        <v>92</v>
      </c>
      <c r="C97" s="26" t="n">
        <v>45170</v>
      </c>
      <c r="D97" t="n">
        <v>0</v>
      </c>
      <c r="E97" t="inlineStr">
        <is>
          <t>PLACEBO</t>
        </is>
      </c>
      <c r="F97" t="n">
        <v>40</v>
      </c>
      <c r="G97" t="n">
        <v>52</v>
      </c>
      <c r="H97" t="n">
        <v>92</v>
      </c>
      <c r="I97" s="26" t="n">
        <v>45890</v>
      </c>
      <c r="J97" s="32" t="n">
        <v>5</v>
      </c>
      <c r="K97" s="32" t="n">
        <v>5</v>
      </c>
      <c r="L97" s="32">
        <f>+K97+J97</f>
        <v/>
      </c>
    </row>
    <row r="98">
      <c r="B98" t="n">
        <v>93</v>
      </c>
      <c r="C98" s="26" t="n">
        <v>45170</v>
      </c>
      <c r="D98" t="n">
        <v>1</v>
      </c>
      <c r="E98" t="inlineStr">
        <is>
          <t>DRUG</t>
        </is>
      </c>
      <c r="F98" t="n">
        <v>41</v>
      </c>
      <c r="G98" t="n">
        <v>52</v>
      </c>
      <c r="H98" t="n">
        <v>93</v>
      </c>
      <c r="I98" s="26" t="n">
        <v>45890</v>
      </c>
      <c r="J98" s="32" t="n">
        <v>5</v>
      </c>
      <c r="K98" s="32" t="n">
        <v>5</v>
      </c>
      <c r="L98" s="32">
        <f>+K98+J98</f>
        <v/>
      </c>
    </row>
    <row r="99">
      <c r="B99" t="n">
        <v>94</v>
      </c>
      <c r="C99" s="26" t="n">
        <v>45200</v>
      </c>
      <c r="D99" t="n">
        <v>1</v>
      </c>
      <c r="E99" t="inlineStr">
        <is>
          <t>DRUG</t>
        </is>
      </c>
      <c r="F99" t="n">
        <v>42</v>
      </c>
      <c r="G99" t="n">
        <v>52</v>
      </c>
      <c r="H99" t="n">
        <v>94</v>
      </c>
      <c r="I99" s="26" t="n">
        <v>45920</v>
      </c>
      <c r="J99" s="32" t="n">
        <v>6</v>
      </c>
      <c r="K99" s="32" t="n">
        <v>5</v>
      </c>
      <c r="L99" s="32">
        <f>+K99+J99</f>
        <v/>
      </c>
    </row>
    <row r="100">
      <c r="B100" t="n">
        <v>95</v>
      </c>
      <c r="C100" s="26" t="n">
        <v>45200</v>
      </c>
      <c r="D100" t="n">
        <v>1</v>
      </c>
      <c r="E100" t="inlineStr">
        <is>
          <t>DRUG</t>
        </is>
      </c>
      <c r="F100" t="n">
        <v>43</v>
      </c>
      <c r="G100" t="n">
        <v>52</v>
      </c>
      <c r="H100" t="n">
        <v>95</v>
      </c>
      <c r="I100" s="26" t="n">
        <v>45920</v>
      </c>
      <c r="J100" s="32" t="n">
        <v>6</v>
      </c>
      <c r="K100" s="32" t="n">
        <v>5</v>
      </c>
      <c r="L100" s="32">
        <f>+K100+J100</f>
        <v/>
      </c>
    </row>
    <row r="101">
      <c r="B101" t="n">
        <v>96</v>
      </c>
      <c r="C101" s="26" t="n">
        <v>45200</v>
      </c>
      <c r="D101" t="n">
        <v>0</v>
      </c>
      <c r="E101" t="inlineStr">
        <is>
          <t>PLACEBO</t>
        </is>
      </c>
      <c r="F101" t="n">
        <v>43</v>
      </c>
      <c r="G101" t="n">
        <v>53</v>
      </c>
      <c r="H101" t="n">
        <v>96</v>
      </c>
      <c r="I101" s="26" t="n">
        <v>45920</v>
      </c>
      <c r="J101" s="32" t="n">
        <v>6</v>
      </c>
      <c r="K101" s="32" t="n">
        <v>5</v>
      </c>
      <c r="L101" s="32">
        <f>+K101+J101</f>
        <v/>
      </c>
    </row>
    <row r="102">
      <c r="B102" t="n">
        <v>97</v>
      </c>
      <c r="C102" s="26" t="n">
        <v>45200</v>
      </c>
      <c r="D102" t="n">
        <v>0</v>
      </c>
      <c r="E102" t="inlineStr">
        <is>
          <t>PLACEBO</t>
        </is>
      </c>
      <c r="F102" t="n">
        <v>43</v>
      </c>
      <c r="G102" t="n">
        <v>54</v>
      </c>
      <c r="H102" t="n">
        <v>97</v>
      </c>
      <c r="I102" s="26" t="n">
        <v>45920</v>
      </c>
      <c r="J102" s="32" t="n">
        <v>6</v>
      </c>
      <c r="K102" s="32" t="n">
        <v>5</v>
      </c>
      <c r="L102" s="32">
        <f>+K102+J102</f>
        <v/>
      </c>
    </row>
    <row r="103">
      <c r="B103" t="n">
        <v>98</v>
      </c>
      <c r="C103" s="26" t="n">
        <v>45200</v>
      </c>
      <c r="D103" t="n">
        <v>0</v>
      </c>
      <c r="E103" t="inlineStr">
        <is>
          <t>PLACEBO</t>
        </is>
      </c>
      <c r="F103" t="n">
        <v>43</v>
      </c>
      <c r="G103" t="n">
        <v>55</v>
      </c>
      <c r="H103" t="n">
        <v>98</v>
      </c>
      <c r="I103" s="26" t="n">
        <v>45920</v>
      </c>
      <c r="J103" s="32" t="n">
        <v>6</v>
      </c>
      <c r="K103" s="32" t="n">
        <v>5</v>
      </c>
      <c r="L103" s="32">
        <f>+K103+J103</f>
        <v/>
      </c>
    </row>
    <row r="104">
      <c r="B104" t="n">
        <v>99</v>
      </c>
      <c r="C104" s="26" t="n">
        <v>45231</v>
      </c>
      <c r="D104" t="n">
        <v>0</v>
      </c>
      <c r="E104" t="inlineStr">
        <is>
          <t>PLACEBO</t>
        </is>
      </c>
      <c r="F104" t="n">
        <v>43</v>
      </c>
      <c r="G104" t="n">
        <v>56</v>
      </c>
      <c r="H104" t="n">
        <v>99</v>
      </c>
      <c r="I104" s="26" t="n">
        <v>45951</v>
      </c>
      <c r="J104" s="32" t="n">
        <v>7</v>
      </c>
      <c r="K104" s="32" t="n">
        <v>5</v>
      </c>
      <c r="L104" s="32">
        <f>+K104+J104</f>
        <v/>
      </c>
    </row>
    <row r="105">
      <c r="B105" t="n">
        <v>100</v>
      </c>
      <c r="C105" s="26" t="n">
        <v>45231</v>
      </c>
      <c r="D105" t="n">
        <v>0</v>
      </c>
      <c r="E105" t="inlineStr">
        <is>
          <t>PLACEBO</t>
        </is>
      </c>
      <c r="F105" t="n">
        <v>43</v>
      </c>
      <c r="G105" t="n">
        <v>57</v>
      </c>
      <c r="H105" t="n">
        <v>100</v>
      </c>
      <c r="I105" s="26" t="n">
        <v>45951</v>
      </c>
      <c r="J105" s="32" t="n">
        <v>7</v>
      </c>
      <c r="K105" s="32" t="n">
        <v>5</v>
      </c>
      <c r="L105" s="32">
        <f>+K105+J105</f>
        <v/>
      </c>
    </row>
    <row r="106">
      <c r="B106" t="n">
        <v>101</v>
      </c>
      <c r="C106" s="26" t="n">
        <v>45231</v>
      </c>
      <c r="D106" t="n">
        <v>0</v>
      </c>
      <c r="E106" t="inlineStr">
        <is>
          <t>PLACEBO</t>
        </is>
      </c>
      <c r="F106" t="n">
        <v>43</v>
      </c>
      <c r="G106" t="n">
        <v>58</v>
      </c>
      <c r="H106" t="n">
        <v>101</v>
      </c>
      <c r="I106" s="26" t="n">
        <v>45951</v>
      </c>
      <c r="J106" s="32" t="n">
        <v>7</v>
      </c>
      <c r="K106" s="32" t="n">
        <v>5</v>
      </c>
      <c r="L106" s="32">
        <f>+K106+J106</f>
        <v/>
      </c>
    </row>
    <row r="107">
      <c r="B107" t="n">
        <v>102</v>
      </c>
      <c r="C107" s="26" t="n">
        <v>45231</v>
      </c>
      <c r="D107" t="n">
        <v>1</v>
      </c>
      <c r="E107" t="inlineStr">
        <is>
          <t>DRUG</t>
        </is>
      </c>
      <c r="F107" t="n">
        <v>44</v>
      </c>
      <c r="G107" t="n">
        <v>58</v>
      </c>
      <c r="H107" t="n">
        <v>102</v>
      </c>
      <c r="I107" s="26" t="n">
        <v>45951</v>
      </c>
      <c r="J107" s="32" t="n">
        <v>7</v>
      </c>
      <c r="K107" s="32" t="n">
        <v>5</v>
      </c>
      <c r="L107" s="32">
        <f>+K107+J107</f>
        <v/>
      </c>
    </row>
    <row r="108">
      <c r="B108" t="n">
        <v>103</v>
      </c>
      <c r="C108" s="26" t="n">
        <v>45231</v>
      </c>
      <c r="D108" t="n">
        <v>0</v>
      </c>
      <c r="E108" t="inlineStr">
        <is>
          <t>PLACEBO</t>
        </is>
      </c>
      <c r="F108" t="n">
        <v>44</v>
      </c>
      <c r="G108" t="n">
        <v>59</v>
      </c>
      <c r="H108" t="n">
        <v>103</v>
      </c>
      <c r="I108" s="26" t="n">
        <v>45951</v>
      </c>
      <c r="J108" s="32" t="n">
        <v>7</v>
      </c>
      <c r="K108" s="32" t="n">
        <v>5</v>
      </c>
      <c r="L108" s="32">
        <f>+K108+J108</f>
        <v/>
      </c>
    </row>
    <row r="109">
      <c r="B109" t="n">
        <v>104</v>
      </c>
      <c r="C109" s="26" t="n">
        <v>45261</v>
      </c>
      <c r="D109" t="n">
        <v>1</v>
      </c>
      <c r="E109" t="inlineStr">
        <is>
          <t>DRUG</t>
        </is>
      </c>
      <c r="F109" t="n">
        <v>45</v>
      </c>
      <c r="G109" t="n">
        <v>59</v>
      </c>
      <c r="H109" t="n">
        <v>104</v>
      </c>
      <c r="I109" s="26" t="n">
        <v>45981</v>
      </c>
      <c r="J109" s="32" t="n">
        <v>8</v>
      </c>
      <c r="K109" s="32" t="n">
        <v>5</v>
      </c>
      <c r="L109" s="32">
        <f>+K109+J109</f>
        <v/>
      </c>
    </row>
    <row r="110">
      <c r="B110" t="n">
        <v>105</v>
      </c>
      <c r="C110" s="26" t="n">
        <v>45261</v>
      </c>
      <c r="D110" t="n">
        <v>1</v>
      </c>
      <c r="E110" t="inlineStr">
        <is>
          <t>DRUG</t>
        </is>
      </c>
      <c r="F110" t="n">
        <v>46</v>
      </c>
      <c r="G110" t="n">
        <v>59</v>
      </c>
      <c r="H110" t="n">
        <v>105</v>
      </c>
      <c r="I110" s="26" t="n">
        <v>45981</v>
      </c>
      <c r="J110" s="32" t="n">
        <v>8</v>
      </c>
      <c r="K110" s="32" t="n">
        <v>5</v>
      </c>
      <c r="L110" s="32">
        <f>+K110+J110</f>
        <v/>
      </c>
    </row>
    <row r="111">
      <c r="B111" t="n">
        <v>106</v>
      </c>
      <c r="C111" s="26" t="n">
        <v>45261</v>
      </c>
      <c r="D111" t="n">
        <v>0</v>
      </c>
      <c r="E111" t="inlineStr">
        <is>
          <t>PLACEBO</t>
        </is>
      </c>
      <c r="F111" t="n">
        <v>46</v>
      </c>
      <c r="G111" t="n">
        <v>60</v>
      </c>
      <c r="H111" t="n">
        <v>106</v>
      </c>
      <c r="I111" s="26" t="n">
        <v>45981</v>
      </c>
      <c r="J111" s="32" t="n">
        <v>8</v>
      </c>
      <c r="K111" s="32" t="n">
        <v>5</v>
      </c>
      <c r="L111" s="32">
        <f>+K111+J111</f>
        <v/>
      </c>
    </row>
    <row r="112">
      <c r="B112" t="n">
        <v>107</v>
      </c>
      <c r="C112" s="26" t="n">
        <v>45261</v>
      </c>
      <c r="D112" t="n">
        <v>1</v>
      </c>
      <c r="E112" t="inlineStr">
        <is>
          <t>DRUG</t>
        </is>
      </c>
      <c r="F112" t="n">
        <v>47</v>
      </c>
      <c r="G112" t="n">
        <v>60</v>
      </c>
      <c r="H112" t="n">
        <v>107</v>
      </c>
      <c r="I112" s="26" t="n">
        <v>45981</v>
      </c>
      <c r="J112" s="32" t="n">
        <v>8</v>
      </c>
      <c r="K112" s="32" t="n">
        <v>5</v>
      </c>
      <c r="L112" s="32">
        <f>+K112+J112</f>
        <v/>
      </c>
    </row>
    <row r="113">
      <c r="B113" t="n">
        <v>108</v>
      </c>
      <c r="C113" s="26" t="n">
        <v>45261</v>
      </c>
      <c r="D113" t="n">
        <v>0</v>
      </c>
      <c r="E113" t="inlineStr">
        <is>
          <t>PLACEBO</t>
        </is>
      </c>
      <c r="F113" t="n">
        <v>47</v>
      </c>
      <c r="G113" t="n">
        <v>61</v>
      </c>
      <c r="H113" t="n">
        <v>108</v>
      </c>
      <c r="I113" s="26" t="n">
        <v>45981</v>
      </c>
      <c r="J113" s="32" t="n">
        <v>8</v>
      </c>
      <c r="K113" s="32" t="n">
        <v>5</v>
      </c>
      <c r="L113" s="32">
        <f>+K113+J113</f>
        <v/>
      </c>
    </row>
    <row r="114">
      <c r="B114" t="n">
        <v>109</v>
      </c>
      <c r="C114" s="26" t="n">
        <v>45292</v>
      </c>
      <c r="D114" t="n">
        <v>0</v>
      </c>
      <c r="E114" t="inlineStr">
        <is>
          <t>PLACEBO</t>
        </is>
      </c>
      <c r="F114" t="n">
        <v>47</v>
      </c>
      <c r="G114" t="n">
        <v>62</v>
      </c>
      <c r="H114" t="n">
        <v>109</v>
      </c>
      <c r="I114" s="26" t="n">
        <v>46012</v>
      </c>
      <c r="J114" s="32" t="n">
        <v>9</v>
      </c>
      <c r="K114" s="32" t="n">
        <v>5</v>
      </c>
      <c r="L114" s="32">
        <f>+K114+J114</f>
        <v/>
      </c>
    </row>
    <row r="115">
      <c r="B115" t="n">
        <v>110</v>
      </c>
      <c r="C115" s="26" t="n">
        <v>45292</v>
      </c>
      <c r="D115" t="n">
        <v>0</v>
      </c>
      <c r="E115" t="inlineStr">
        <is>
          <t>PLACEBO</t>
        </is>
      </c>
      <c r="F115" t="n">
        <v>47</v>
      </c>
      <c r="G115" t="n">
        <v>63</v>
      </c>
      <c r="H115" t="n">
        <v>110</v>
      </c>
      <c r="I115" s="26" t="n">
        <v>46012</v>
      </c>
      <c r="J115" s="32" t="n">
        <v>9</v>
      </c>
      <c r="K115" s="32" t="n">
        <v>5</v>
      </c>
      <c r="L115" s="32">
        <f>+K115+J115</f>
        <v/>
      </c>
    </row>
    <row r="116">
      <c r="B116" t="n">
        <v>111</v>
      </c>
      <c r="C116" s="26" t="n">
        <v>45292</v>
      </c>
      <c r="D116" t="n">
        <v>1</v>
      </c>
      <c r="E116" t="inlineStr">
        <is>
          <t>DRUG</t>
        </is>
      </c>
      <c r="F116" t="n">
        <v>48</v>
      </c>
      <c r="G116" t="n">
        <v>63</v>
      </c>
      <c r="H116" t="n">
        <v>111</v>
      </c>
      <c r="I116" s="26" t="n">
        <v>46012</v>
      </c>
      <c r="J116" s="32" t="n">
        <v>9</v>
      </c>
      <c r="K116" s="32" t="n">
        <v>5</v>
      </c>
      <c r="L116" s="32">
        <f>+K116+J116</f>
        <v/>
      </c>
    </row>
    <row r="117">
      <c r="B117" t="n">
        <v>112</v>
      </c>
      <c r="C117" s="26" t="n">
        <v>45292</v>
      </c>
      <c r="D117" t="n">
        <v>1</v>
      </c>
      <c r="E117" t="inlineStr">
        <is>
          <t>DRUG</t>
        </is>
      </c>
      <c r="F117" t="n">
        <v>49</v>
      </c>
      <c r="G117" t="n">
        <v>63</v>
      </c>
      <c r="H117" t="n">
        <v>112</v>
      </c>
      <c r="I117" s="26" t="n">
        <v>46012</v>
      </c>
      <c r="J117" s="32" t="n">
        <v>9</v>
      </c>
      <c r="K117" s="32" t="n">
        <v>5</v>
      </c>
      <c r="L117" s="32">
        <f>+K117+J117</f>
        <v/>
      </c>
    </row>
    <row r="118">
      <c r="B118" t="n">
        <v>113</v>
      </c>
      <c r="C118" s="26" t="n">
        <v>45292</v>
      </c>
      <c r="D118" t="n">
        <v>0</v>
      </c>
      <c r="E118" t="inlineStr">
        <is>
          <t>PLACEBO</t>
        </is>
      </c>
      <c r="F118" t="n">
        <v>49</v>
      </c>
      <c r="G118" t="n">
        <v>64</v>
      </c>
      <c r="H118" t="n">
        <v>113</v>
      </c>
      <c r="I118" s="26" t="n">
        <v>46012</v>
      </c>
      <c r="J118" s="32" t="n">
        <v>9</v>
      </c>
      <c r="K118" s="32" t="n">
        <v>5</v>
      </c>
      <c r="L118" s="32">
        <f>+K118+J118</f>
        <v/>
      </c>
    </row>
    <row r="119">
      <c r="B119" t="n">
        <v>114</v>
      </c>
      <c r="C119" s="26" t="n">
        <v>45323</v>
      </c>
      <c r="D119" t="n">
        <v>1</v>
      </c>
      <c r="E119" t="inlineStr">
        <is>
          <t>DRUG</t>
        </is>
      </c>
      <c r="F119" t="n">
        <v>50</v>
      </c>
      <c r="G119" t="n">
        <v>64</v>
      </c>
      <c r="H119" t="n">
        <v>114</v>
      </c>
      <c r="I119" s="26" t="n">
        <v>46043</v>
      </c>
      <c r="J119" s="32" t="n">
        <v>9</v>
      </c>
      <c r="K119" s="32" t="n">
        <v>6</v>
      </c>
      <c r="L119" s="32">
        <f>+K119+J119</f>
        <v/>
      </c>
    </row>
    <row r="120">
      <c r="B120" t="n">
        <v>115</v>
      </c>
      <c r="C120" s="26" t="n">
        <v>45323</v>
      </c>
      <c r="D120" t="n">
        <v>1</v>
      </c>
      <c r="E120" t="inlineStr">
        <is>
          <t>DRUG</t>
        </is>
      </c>
      <c r="F120" t="n">
        <v>51</v>
      </c>
      <c r="G120" t="n">
        <v>64</v>
      </c>
      <c r="H120" t="n">
        <v>115</v>
      </c>
      <c r="I120" s="26" t="n">
        <v>46043</v>
      </c>
      <c r="J120" s="32" t="n">
        <v>9</v>
      </c>
      <c r="K120" s="32" t="n">
        <v>7</v>
      </c>
      <c r="L120" s="32">
        <f>+K120+J120</f>
        <v/>
      </c>
    </row>
    <row r="121">
      <c r="B121" t="n">
        <v>116</v>
      </c>
      <c r="C121" s="26" t="n">
        <v>45323</v>
      </c>
      <c r="D121" t="n">
        <v>0</v>
      </c>
      <c r="E121" t="inlineStr">
        <is>
          <t>PLACEBO</t>
        </is>
      </c>
      <c r="F121" t="n">
        <v>51</v>
      </c>
      <c r="G121" t="n">
        <v>65</v>
      </c>
      <c r="H121" t="n">
        <v>116</v>
      </c>
      <c r="I121" s="26" t="n">
        <v>46043</v>
      </c>
      <c r="J121" s="32" t="n">
        <v>9</v>
      </c>
      <c r="K121" s="32" t="n">
        <v>7</v>
      </c>
      <c r="L121" s="32">
        <f>+K121+J121</f>
        <v/>
      </c>
    </row>
    <row r="122">
      <c r="B122" t="n">
        <v>117</v>
      </c>
      <c r="C122" s="26" t="n">
        <v>45323</v>
      </c>
      <c r="D122" t="n">
        <v>0</v>
      </c>
      <c r="E122" t="inlineStr">
        <is>
          <t>PLACEBO</t>
        </is>
      </c>
      <c r="F122" t="n">
        <v>51</v>
      </c>
      <c r="G122" t="n">
        <v>66</v>
      </c>
      <c r="H122" t="n">
        <v>117</v>
      </c>
      <c r="I122" s="26" t="n">
        <v>46043</v>
      </c>
      <c r="J122" s="32" t="n">
        <v>9</v>
      </c>
      <c r="K122" s="32" t="n">
        <v>7</v>
      </c>
      <c r="L122" s="32">
        <f>+K122+J122</f>
        <v/>
      </c>
    </row>
    <row r="123">
      <c r="B123" t="n">
        <v>118</v>
      </c>
      <c r="C123" s="26" t="n">
        <v>45323</v>
      </c>
      <c r="D123" t="n">
        <v>0</v>
      </c>
      <c r="E123" t="inlineStr">
        <is>
          <t>PLACEBO</t>
        </is>
      </c>
      <c r="F123" t="n">
        <v>51</v>
      </c>
      <c r="G123" t="n">
        <v>67</v>
      </c>
      <c r="H123" t="n">
        <v>118</v>
      </c>
      <c r="I123" s="26" t="n">
        <v>46043</v>
      </c>
      <c r="J123" s="32" t="n">
        <v>9</v>
      </c>
      <c r="K123" s="32" t="n">
        <v>7</v>
      </c>
      <c r="L123" s="32">
        <f>+K123+J123</f>
        <v/>
      </c>
    </row>
    <row r="124">
      <c r="B124" t="n">
        <v>119</v>
      </c>
      <c r="C124" s="26" t="n">
        <v>45352</v>
      </c>
      <c r="D124" t="n">
        <v>1</v>
      </c>
      <c r="E124" t="inlineStr">
        <is>
          <t>DRUG</t>
        </is>
      </c>
      <c r="F124" t="n">
        <v>52</v>
      </c>
      <c r="G124" t="n">
        <v>67</v>
      </c>
      <c r="H124" t="n">
        <v>119</v>
      </c>
      <c r="I124" s="26" t="n">
        <v>46072</v>
      </c>
      <c r="J124" s="32" t="n">
        <v>10</v>
      </c>
      <c r="K124" s="32" t="n">
        <v>7</v>
      </c>
      <c r="L124" s="32">
        <f>+K124+J124</f>
        <v/>
      </c>
    </row>
    <row r="125">
      <c r="B125" t="n">
        <v>120</v>
      </c>
      <c r="C125" s="26" t="n">
        <v>45352</v>
      </c>
      <c r="D125" t="n">
        <v>1</v>
      </c>
      <c r="E125" t="inlineStr">
        <is>
          <t>DRUG</t>
        </is>
      </c>
      <c r="F125" t="n">
        <v>53</v>
      </c>
      <c r="G125" t="n">
        <v>67</v>
      </c>
      <c r="H125" t="n">
        <v>120</v>
      </c>
      <c r="I125" s="26" t="n">
        <v>46072</v>
      </c>
      <c r="J125" s="32" t="n">
        <v>10</v>
      </c>
      <c r="K125" s="32" t="n">
        <v>8</v>
      </c>
      <c r="L125" s="32">
        <f>+K125+J125</f>
        <v/>
      </c>
    </row>
    <row r="126">
      <c r="B126" t="n">
        <v>121</v>
      </c>
      <c r="C126" s="26" t="n">
        <v>45352</v>
      </c>
      <c r="D126" t="n">
        <v>1</v>
      </c>
      <c r="E126" t="inlineStr">
        <is>
          <t>DRUG</t>
        </is>
      </c>
      <c r="F126" t="n">
        <v>54</v>
      </c>
      <c r="G126" t="n">
        <v>67</v>
      </c>
      <c r="H126" t="n">
        <v>121</v>
      </c>
      <c r="I126" s="26" t="n">
        <v>46072</v>
      </c>
      <c r="J126" s="32" t="n">
        <v>10</v>
      </c>
      <c r="K126" s="32" t="n">
        <v>8</v>
      </c>
      <c r="L126" s="32">
        <f>+K126+J126</f>
        <v/>
      </c>
    </row>
    <row r="127">
      <c r="B127" t="n">
        <v>122</v>
      </c>
      <c r="C127" s="26" t="n">
        <v>45352</v>
      </c>
      <c r="D127" t="n">
        <v>0</v>
      </c>
      <c r="E127" t="inlineStr">
        <is>
          <t>PLACEBO</t>
        </is>
      </c>
      <c r="F127" t="n">
        <v>54</v>
      </c>
      <c r="G127" t="n">
        <v>68</v>
      </c>
      <c r="H127" t="n">
        <v>122</v>
      </c>
      <c r="I127" s="26" t="n">
        <v>46072</v>
      </c>
      <c r="J127" s="32" t="n">
        <v>10</v>
      </c>
      <c r="K127" s="32" t="n">
        <v>8</v>
      </c>
      <c r="L127" s="32">
        <f>+K127+J127</f>
        <v/>
      </c>
    </row>
    <row r="128">
      <c r="B128" t="n">
        <v>123</v>
      </c>
      <c r="C128" s="26" t="n">
        <v>45352</v>
      </c>
      <c r="D128" t="n">
        <v>1</v>
      </c>
      <c r="E128" t="inlineStr">
        <is>
          <t>DRUG</t>
        </is>
      </c>
      <c r="F128" t="n">
        <v>55</v>
      </c>
      <c r="G128" t="n">
        <v>68</v>
      </c>
      <c r="H128" t="n">
        <v>123</v>
      </c>
      <c r="I128" s="26" t="n">
        <v>46072</v>
      </c>
      <c r="J128" s="32" t="n">
        <v>10</v>
      </c>
      <c r="K128" s="32" t="n">
        <v>8</v>
      </c>
      <c r="L128" s="32">
        <f>+K128+J128</f>
        <v/>
      </c>
    </row>
    <row r="129">
      <c r="B129" t="n">
        <v>124</v>
      </c>
      <c r="C129" s="26" t="n">
        <v>45383</v>
      </c>
      <c r="D129" t="n">
        <v>0</v>
      </c>
      <c r="E129" t="inlineStr">
        <is>
          <t>PLACEBO</t>
        </is>
      </c>
      <c r="F129" t="n">
        <v>55</v>
      </c>
      <c r="G129" t="n">
        <v>69</v>
      </c>
      <c r="H129" t="n">
        <v>124</v>
      </c>
      <c r="I129" s="26" t="n">
        <v>46103</v>
      </c>
      <c r="J129" s="32" t="n">
        <v>10</v>
      </c>
      <c r="K129" s="32" t="n">
        <v>9</v>
      </c>
      <c r="L129" s="32">
        <f>+K129+J129</f>
        <v/>
      </c>
    </row>
    <row r="130">
      <c r="B130" t="n">
        <v>125</v>
      </c>
      <c r="C130" s="26" t="n">
        <v>45383</v>
      </c>
      <c r="D130" t="n">
        <v>0</v>
      </c>
      <c r="E130" t="inlineStr">
        <is>
          <t>PLACEBO</t>
        </is>
      </c>
      <c r="F130" t="n">
        <v>55</v>
      </c>
      <c r="G130" t="n">
        <v>70</v>
      </c>
      <c r="H130" t="n">
        <v>125</v>
      </c>
      <c r="I130" s="26" t="n">
        <v>46103</v>
      </c>
      <c r="J130" s="32" t="n">
        <v>11</v>
      </c>
      <c r="K130" s="32" t="n">
        <v>9</v>
      </c>
      <c r="L130" s="32">
        <f>+K130+J130</f>
        <v/>
      </c>
    </row>
    <row r="131">
      <c r="B131" t="n">
        <v>126</v>
      </c>
      <c r="C131" s="26" t="n">
        <v>45383</v>
      </c>
      <c r="D131" t="n">
        <v>0</v>
      </c>
      <c r="E131" t="inlineStr">
        <is>
          <t>PLACEBO</t>
        </is>
      </c>
      <c r="F131" t="n">
        <v>55</v>
      </c>
      <c r="G131" t="n">
        <v>71</v>
      </c>
      <c r="H131" t="n">
        <v>126</v>
      </c>
      <c r="I131" s="26" t="n">
        <v>46103</v>
      </c>
      <c r="J131" s="32" t="n">
        <v>11</v>
      </c>
      <c r="K131" s="32" t="n">
        <v>10</v>
      </c>
      <c r="L131" s="32">
        <f>+K131+J131</f>
        <v/>
      </c>
    </row>
    <row r="132">
      <c r="B132" t="n">
        <v>127</v>
      </c>
      <c r="C132" s="26" t="n">
        <v>45383</v>
      </c>
      <c r="D132" t="n">
        <v>1</v>
      </c>
      <c r="E132" t="inlineStr">
        <is>
          <t>DRUG</t>
        </is>
      </c>
      <c r="F132" t="n">
        <v>56</v>
      </c>
      <c r="G132" t="n">
        <v>71</v>
      </c>
      <c r="H132" t="n">
        <v>127</v>
      </c>
      <c r="I132" s="26" t="n">
        <v>46103</v>
      </c>
      <c r="J132" s="32" t="n">
        <v>11</v>
      </c>
      <c r="K132" s="32" t="n">
        <v>10</v>
      </c>
      <c r="L132" s="32">
        <f>+K132+J132</f>
        <v/>
      </c>
    </row>
    <row r="133">
      <c r="C133" s="26" t="n">
        <v>45413</v>
      </c>
      <c r="J133" s="32">
        <f>+J132+2</f>
        <v/>
      </c>
      <c r="K133" s="32">
        <f>+K132+1</f>
        <v/>
      </c>
      <c r="L133" s="32">
        <f>+K133+J133</f>
        <v/>
      </c>
    </row>
    <row r="134">
      <c r="C134" s="26">
        <f>C133+31</f>
        <v/>
      </c>
      <c r="J134" s="32">
        <f>+J133+1</f>
        <v/>
      </c>
      <c r="K134" s="32">
        <f>+K133+2</f>
        <v/>
      </c>
      <c r="L134" s="32">
        <f>+K134+J134</f>
        <v/>
      </c>
    </row>
    <row r="135">
      <c r="C135" s="26">
        <f>C134+31</f>
        <v/>
      </c>
      <c r="J135" s="32">
        <f>+J134+2</f>
        <v/>
      </c>
      <c r="K135" s="32">
        <f>+K134+1</f>
        <v/>
      </c>
      <c r="L135" s="32">
        <f>+K135+J135</f>
        <v/>
      </c>
    </row>
    <row r="136">
      <c r="C136" s="26">
        <f>C135+31</f>
        <v/>
      </c>
      <c r="J136" s="32">
        <f>+J135+1</f>
        <v/>
      </c>
      <c r="K136" s="32">
        <f>+K135+3</f>
        <v/>
      </c>
      <c r="L136" s="32">
        <f>+K136+J136</f>
        <v/>
      </c>
    </row>
    <row r="137">
      <c r="C137" s="26">
        <f>C136+31</f>
        <v/>
      </c>
      <c r="J137" s="32">
        <f>+J136+3</f>
        <v/>
      </c>
      <c r="K137" s="32">
        <f>+K136+1</f>
        <v/>
      </c>
      <c r="L137" s="32">
        <f>+K137+J137</f>
        <v/>
      </c>
    </row>
    <row r="138">
      <c r="C138" s="26">
        <f>C137+31</f>
        <v/>
      </c>
      <c r="J138" s="32">
        <f>+J137+2</f>
        <v/>
      </c>
      <c r="K138" s="32">
        <f>+K137+3</f>
        <v/>
      </c>
      <c r="L138" s="32">
        <f>+K138+J138</f>
        <v/>
      </c>
    </row>
    <row r="139">
      <c r="C139" s="26">
        <f>C138+31</f>
        <v/>
      </c>
      <c r="J139" s="32">
        <f>+J138+1</f>
        <v/>
      </c>
      <c r="K139" s="32">
        <f>+K138+4</f>
        <v/>
      </c>
      <c r="L139" s="32">
        <f>+K139+J139</f>
        <v/>
      </c>
    </row>
    <row r="140">
      <c r="C140" s="26">
        <f>C139+31</f>
        <v/>
      </c>
      <c r="J140" s="32">
        <f>+J139+1</f>
        <v/>
      </c>
      <c r="K140" s="32">
        <f>+K139+4</f>
        <v/>
      </c>
      <c r="L140" s="32">
        <f>+K140+J140</f>
        <v/>
      </c>
    </row>
    <row r="141">
      <c r="C141" s="26">
        <f>C140+31</f>
        <v/>
      </c>
      <c r="L141" s="32">
        <f>+K141+J141</f>
        <v/>
      </c>
    </row>
    <row r="142">
      <c r="C142" s="26">
        <f>C141+31</f>
        <v/>
      </c>
    </row>
    <row r="143">
      <c r="C143" s="26">
        <f>C142+31</f>
        <v/>
      </c>
    </row>
    <row r="144">
      <c r="C144" s="26">
        <f>C143+31</f>
        <v/>
      </c>
    </row>
    <row r="145">
      <c r="C145" s="26">
        <f>C144+31</f>
        <v/>
      </c>
    </row>
    <row r="146">
      <c r="C146" s="26">
        <f>C145+31</f>
        <v/>
      </c>
    </row>
    <row r="147">
      <c r="C147" s="26">
        <f>C146+31</f>
        <v/>
      </c>
    </row>
    <row r="148">
      <c r="C148" s="26">
        <f>C147+31</f>
        <v/>
      </c>
    </row>
    <row r="149">
      <c r="C149" s="26">
        <f>C148+31</f>
        <v/>
      </c>
    </row>
    <row r="150">
      <c r="C150" s="26">
        <f>C149+31</f>
        <v/>
      </c>
    </row>
    <row r="151">
      <c r="C151" s="26">
        <f>C150+31</f>
        <v/>
      </c>
    </row>
    <row r="152">
      <c r="C152" s="26">
        <f>C151+31</f>
        <v/>
      </c>
    </row>
  </sheetData>
  <mergeCells count="1">
    <mergeCell ref="J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Martin Shkreli</dc:creator>
  <dcterms:created xmlns:dcterms="http://purl.org/dc/terms/" xmlns:xsi="http://www.w3.org/2001/XMLSchema-instance" xsi:type="dcterms:W3CDTF">2024-09-27T13:16:40Z</dcterms:created>
  <dcterms:modified xmlns:dcterms="http://purl.org/dc/terms/" xmlns:xsi="http://www.w3.org/2001/XMLSchema-instance" xsi:type="dcterms:W3CDTF">2026-09-12T03:39:41Z</dcterms:modified>
  <cp:lastModifiedBy>Martin Shkreli</cp:lastModifiedBy>
</cp:coreProperties>
</file>